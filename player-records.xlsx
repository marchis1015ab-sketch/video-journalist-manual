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note\Desktop\jtbc\JTBC WATCHDOGS\"/>
    </mc:Choice>
  </mc:AlternateContent>
  <bookViews>
    <workbookView xWindow="0" yWindow="0" windowWidth="28800" windowHeight="12285"/>
  </bookViews>
  <sheets>
    <sheet name="타자" sheetId="9" r:id="rId1"/>
    <sheet name="투수" sheetId="10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6" i="10" l="1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J40" i="10"/>
  <c r="AK40" i="10"/>
  <c r="AL40" i="10"/>
  <c r="AM40" i="10"/>
  <c r="AN40" i="10"/>
  <c r="AO40" i="10"/>
  <c r="AP40" i="10"/>
  <c r="AQ40" i="10"/>
  <c r="AR40" i="10"/>
  <c r="AS40" i="10"/>
  <c r="E40" i="10"/>
  <c r="Y44" i="10"/>
  <c r="Z44" i="10"/>
  <c r="AA44" i="10"/>
  <c r="AB44" i="10"/>
  <c r="AC44" i="10"/>
  <c r="X44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S53" i="10"/>
  <c r="T53" i="10"/>
  <c r="U53" i="10"/>
  <c r="V53" i="10"/>
  <c r="W53" i="10"/>
  <c r="D53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S25" i="10"/>
  <c r="T25" i="10"/>
  <c r="U25" i="10"/>
  <c r="V25" i="10"/>
  <c r="W25" i="10"/>
  <c r="W26" i="10" s="1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S24" i="10"/>
  <c r="T24" i="10"/>
  <c r="U24" i="10"/>
  <c r="V24" i="10"/>
  <c r="W24" i="10"/>
  <c r="C23" i="10"/>
  <c r="D23" i="10"/>
  <c r="E23" i="10"/>
  <c r="F23" i="10"/>
  <c r="G23" i="10"/>
  <c r="H23" i="10"/>
  <c r="I23" i="10"/>
  <c r="M23" i="10"/>
  <c r="N23" i="10"/>
  <c r="O23" i="10"/>
  <c r="P23" i="10"/>
  <c r="Q23" i="10"/>
  <c r="S23" i="10"/>
  <c r="T23" i="10"/>
  <c r="U23" i="10"/>
  <c r="W23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S22" i="10"/>
  <c r="T22" i="10"/>
  <c r="U22" i="10"/>
  <c r="V22" i="10"/>
  <c r="W22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S21" i="10"/>
  <c r="T21" i="10"/>
  <c r="U21" i="10"/>
  <c r="V21" i="10"/>
  <c r="W21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S20" i="10"/>
  <c r="T20" i="10"/>
  <c r="U20" i="10"/>
  <c r="V20" i="10"/>
  <c r="W20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S19" i="10"/>
  <c r="T19" i="10"/>
  <c r="U19" i="10"/>
  <c r="V19" i="10"/>
  <c r="W19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S18" i="10"/>
  <c r="T18" i="10"/>
  <c r="U18" i="10"/>
  <c r="V18" i="10"/>
  <c r="W18" i="10"/>
  <c r="B18" i="10"/>
  <c r="B19" i="10"/>
  <c r="B20" i="10"/>
  <c r="B21" i="10"/>
  <c r="B22" i="10"/>
  <c r="B23" i="10"/>
  <c r="B24" i="10"/>
  <c r="B25" i="10"/>
  <c r="C17" i="10"/>
  <c r="D17" i="10"/>
  <c r="E17" i="10"/>
  <c r="F17" i="10"/>
  <c r="G17" i="10"/>
  <c r="H17" i="10"/>
  <c r="I17" i="10"/>
  <c r="J17" i="10"/>
  <c r="K17" i="10"/>
  <c r="K26" i="10" s="1"/>
  <c r="L17" i="10"/>
  <c r="M17" i="10"/>
  <c r="M26" i="10" s="1"/>
  <c r="N17" i="10"/>
  <c r="N26" i="10" s="1"/>
  <c r="O17" i="10"/>
  <c r="P17" i="10"/>
  <c r="P26" i="10" s="1"/>
  <c r="Q17" i="10"/>
  <c r="Q26" i="10" s="1"/>
  <c r="S17" i="10"/>
  <c r="S26" i="10" s="1"/>
  <c r="T17" i="10"/>
  <c r="T26" i="10" s="1"/>
  <c r="U17" i="10"/>
  <c r="U26" i="10" s="1"/>
  <c r="V17" i="10"/>
  <c r="V26" i="10" s="1"/>
  <c r="W17" i="10"/>
  <c r="B17" i="10"/>
  <c r="R44" i="10"/>
  <c r="R17" i="10" s="1"/>
  <c r="DB4" i="10"/>
  <c r="DJ4" i="10" s="1"/>
  <c r="DB6" i="10"/>
  <c r="DJ6" i="10" s="1"/>
  <c r="DB7" i="10"/>
  <c r="DJ7" i="10" s="1"/>
  <c r="DB9" i="10"/>
  <c r="DH4" i="10"/>
  <c r="DI4" i="10"/>
  <c r="DK4" i="10"/>
  <c r="DL4" i="10"/>
  <c r="DM4" i="10"/>
  <c r="DH6" i="10"/>
  <c r="DI6" i="10"/>
  <c r="DK6" i="10"/>
  <c r="DL6" i="10"/>
  <c r="DM6" i="10"/>
  <c r="DH7" i="10"/>
  <c r="DI7" i="10"/>
  <c r="DK7" i="10"/>
  <c r="DL7" i="10"/>
  <c r="DM7" i="10"/>
  <c r="DF9" i="10"/>
  <c r="V23" i="10" s="1"/>
  <c r="DH9" i="10"/>
  <c r="DC12" i="10"/>
  <c r="DD12" i="10"/>
  <c r="DE12" i="10"/>
  <c r="DF12" i="10"/>
  <c r="DG12" i="10"/>
  <c r="BY4" i="10"/>
  <c r="R18" i="10" s="1"/>
  <c r="BY5" i="10"/>
  <c r="BY6" i="10"/>
  <c r="R20" i="10" s="1"/>
  <c r="BY7" i="10"/>
  <c r="CG7" i="10" s="1"/>
  <c r="BY9" i="10"/>
  <c r="CG9" i="10" s="1"/>
  <c r="CF4" i="10"/>
  <c r="CH4" i="10"/>
  <c r="CI4" i="10"/>
  <c r="CJ4" i="10"/>
  <c r="CE6" i="10"/>
  <c r="CF6" i="10"/>
  <c r="CH6" i="10"/>
  <c r="CI6" i="10"/>
  <c r="CJ6" i="10"/>
  <c r="CE7" i="10"/>
  <c r="CF7" i="10"/>
  <c r="CH7" i="10"/>
  <c r="CI7" i="10"/>
  <c r="CJ7" i="10"/>
  <c r="CE9" i="10"/>
  <c r="CF9" i="10"/>
  <c r="CH9" i="10"/>
  <c r="CI9" i="10"/>
  <c r="CJ9" i="10"/>
  <c r="CT9" i="10"/>
  <c r="DL9" i="10" s="1"/>
  <c r="CU9" i="10"/>
  <c r="K23" i="10" s="1"/>
  <c r="CV9" i="10"/>
  <c r="DM9" i="10" s="1"/>
  <c r="BZ12" i="10"/>
  <c r="CA12" i="10"/>
  <c r="CB12" i="10"/>
  <c r="CC12" i="10"/>
  <c r="CD12" i="10"/>
  <c r="CM12" i="10"/>
  <c r="CN12" i="10"/>
  <c r="CO12" i="10"/>
  <c r="CP12" i="10"/>
  <c r="DH12" i="10" s="1"/>
  <c r="CQ12" i="10"/>
  <c r="CR12" i="10"/>
  <c r="CS12" i="10"/>
  <c r="CT12" i="10"/>
  <c r="CU12" i="10"/>
  <c r="CV12" i="10"/>
  <c r="CW12" i="10"/>
  <c r="CX12" i="10"/>
  <c r="CY12" i="10"/>
  <c r="CZ12" i="10"/>
  <c r="DA12" i="10"/>
  <c r="DL12" i="10" s="1"/>
  <c r="AV5" i="10"/>
  <c r="R19" i="10" s="1"/>
  <c r="AV7" i="10"/>
  <c r="AV9" i="10"/>
  <c r="AW12" i="10"/>
  <c r="AX12" i="10"/>
  <c r="AY12" i="10"/>
  <c r="AZ12" i="10"/>
  <c r="BA12" i="10"/>
  <c r="BJ12" i="10"/>
  <c r="BK12" i="10"/>
  <c r="BL12" i="10"/>
  <c r="BM12" i="10"/>
  <c r="BN12" i="10"/>
  <c r="BO12" i="10"/>
  <c r="BP12" i="10"/>
  <c r="BQ12" i="10"/>
  <c r="CH12" i="10" s="1"/>
  <c r="BR12" i="10"/>
  <c r="BS12" i="10"/>
  <c r="BT12" i="10"/>
  <c r="BU12" i="10"/>
  <c r="BV12" i="10"/>
  <c r="BW12" i="10"/>
  <c r="BX12" i="10"/>
  <c r="S7" i="10"/>
  <c r="R21" i="10" s="1"/>
  <c r="S8" i="10"/>
  <c r="R22" i="10" s="1"/>
  <c r="S9" i="10"/>
  <c r="S10" i="10"/>
  <c r="R24" i="10" s="1"/>
  <c r="S11" i="10"/>
  <c r="R25" i="10" s="1"/>
  <c r="AG12" i="10"/>
  <c r="AH12" i="10"/>
  <c r="AI12" i="10"/>
  <c r="AJ12" i="10"/>
  <c r="AK12" i="10"/>
  <c r="AL12" i="10"/>
  <c r="AM12" i="10"/>
  <c r="AN12" i="10"/>
  <c r="AO12" i="10"/>
  <c r="AP12" i="10"/>
  <c r="AQ12" i="10"/>
  <c r="AR12" i="10"/>
  <c r="AS12" i="10"/>
  <c r="AT12" i="10"/>
  <c r="AU12" i="10"/>
  <c r="R48" i="10"/>
  <c r="Z48" i="10" s="1"/>
  <c r="R50" i="10"/>
  <c r="Z50" i="10" s="1"/>
  <c r="X48" i="10"/>
  <c r="Y48" i="10"/>
  <c r="AA48" i="10"/>
  <c r="AB48" i="10"/>
  <c r="AC48" i="10"/>
  <c r="X50" i="10"/>
  <c r="Y50" i="10"/>
  <c r="AA50" i="10"/>
  <c r="AB50" i="10"/>
  <c r="AC50" i="10"/>
  <c r="X17" i="10"/>
  <c r="AD17" i="10" l="1"/>
  <c r="CE12" i="10"/>
  <c r="DK9" i="10"/>
  <c r="CJ12" i="10"/>
  <c r="DJ9" i="10"/>
  <c r="R53" i="10"/>
  <c r="R23" i="10"/>
  <c r="R26" i="10" s="1"/>
  <c r="S12" i="10"/>
  <c r="DI12" i="10"/>
  <c r="DB12" i="10"/>
  <c r="DJ12" i="10" s="1"/>
  <c r="CG4" i="10"/>
  <c r="DI9" i="10"/>
  <c r="BY12" i="10"/>
  <c r="CG12" i="10" s="1"/>
  <c r="L23" i="10"/>
  <c r="L26" i="10" s="1"/>
  <c r="DM12" i="10"/>
  <c r="AV12" i="10"/>
  <c r="J23" i="10"/>
  <c r="J26" i="10" s="1"/>
  <c r="Z17" i="10"/>
  <c r="AB17" i="10"/>
  <c r="CI12" i="10"/>
  <c r="CG6" i="10"/>
  <c r="DK12" i="10"/>
  <c r="CF12" i="10"/>
  <c r="AA17" i="10"/>
  <c r="AC17" i="10"/>
  <c r="Y17" i="10"/>
  <c r="DQ26" i="9"/>
  <c r="C53" i="10" l="1"/>
  <c r="AC53" i="10" l="1"/>
  <c r="AB53" i="10"/>
  <c r="X53" i="10"/>
  <c r="AA53" i="10"/>
  <c r="Y53" i="10"/>
  <c r="BO88" i="9"/>
  <c r="BP88" i="9"/>
  <c r="BR88" i="9"/>
  <c r="BS88" i="9"/>
  <c r="BT88" i="9"/>
  <c r="BU88" i="9"/>
  <c r="BW88" i="9"/>
  <c r="BX88" i="9"/>
  <c r="BY88" i="9"/>
  <c r="BZ88" i="9"/>
  <c r="CA88" i="9"/>
  <c r="CB88" i="9"/>
  <c r="CC88" i="9"/>
  <c r="CD88" i="9"/>
  <c r="CF88" i="9"/>
  <c r="CG88" i="9"/>
  <c r="BO89" i="9"/>
  <c r="BP89" i="9"/>
  <c r="BR89" i="9"/>
  <c r="BS89" i="9"/>
  <c r="BT89" i="9"/>
  <c r="BU89" i="9"/>
  <c r="BW89" i="9"/>
  <c r="BX89" i="9"/>
  <c r="BY89" i="9"/>
  <c r="BZ89" i="9"/>
  <c r="CA89" i="9"/>
  <c r="CB89" i="9"/>
  <c r="CC89" i="9"/>
  <c r="CD89" i="9"/>
  <c r="CF89" i="9"/>
  <c r="CG89" i="9"/>
  <c r="BO90" i="9"/>
  <c r="BP90" i="9"/>
  <c r="BR90" i="9"/>
  <c r="BS90" i="9"/>
  <c r="BT90" i="9"/>
  <c r="BU90" i="9"/>
  <c r="BW90" i="9"/>
  <c r="BX90" i="9"/>
  <c r="BY90" i="9"/>
  <c r="BZ90" i="9"/>
  <c r="CA90" i="9"/>
  <c r="CB90" i="9"/>
  <c r="CC90" i="9"/>
  <c r="CD90" i="9"/>
  <c r="CF90" i="9"/>
  <c r="CG90" i="9"/>
  <c r="BO91" i="9"/>
  <c r="BP91" i="9"/>
  <c r="BR91" i="9"/>
  <c r="BS91" i="9"/>
  <c r="BT91" i="9"/>
  <c r="BU91" i="9"/>
  <c r="BW91" i="9"/>
  <c r="BX91" i="9"/>
  <c r="BY91" i="9"/>
  <c r="BZ91" i="9"/>
  <c r="CA91" i="9"/>
  <c r="CB91" i="9"/>
  <c r="CC91" i="9"/>
  <c r="CD91" i="9"/>
  <c r="CF91" i="9"/>
  <c r="CG91" i="9"/>
  <c r="BO92" i="9"/>
  <c r="BP92" i="9"/>
  <c r="BR92" i="9"/>
  <c r="BS92" i="9"/>
  <c r="BT92" i="9"/>
  <c r="BU92" i="9"/>
  <c r="BW92" i="9"/>
  <c r="BX92" i="9"/>
  <c r="BY92" i="9"/>
  <c r="BZ92" i="9"/>
  <c r="CA92" i="9"/>
  <c r="CB92" i="9"/>
  <c r="CC92" i="9"/>
  <c r="CD92" i="9"/>
  <c r="CF92" i="9"/>
  <c r="CG92" i="9"/>
  <c r="BO93" i="9"/>
  <c r="BP93" i="9"/>
  <c r="BR93" i="9"/>
  <c r="BS93" i="9"/>
  <c r="BT93" i="9"/>
  <c r="BU93" i="9"/>
  <c r="BW93" i="9"/>
  <c r="BX93" i="9"/>
  <c r="BY93" i="9"/>
  <c r="BZ93" i="9"/>
  <c r="CA93" i="9"/>
  <c r="CB93" i="9"/>
  <c r="CC93" i="9"/>
  <c r="CD93" i="9"/>
  <c r="CF93" i="9"/>
  <c r="CG93" i="9"/>
  <c r="BO94" i="9"/>
  <c r="BP94" i="9"/>
  <c r="BQ94" i="9"/>
  <c r="BR94" i="9"/>
  <c r="BS94" i="9"/>
  <c r="BT94" i="9"/>
  <c r="BU94" i="9"/>
  <c r="BV94" i="9"/>
  <c r="BW94" i="9"/>
  <c r="BX94" i="9"/>
  <c r="BY94" i="9"/>
  <c r="BZ94" i="9"/>
  <c r="CA94" i="9"/>
  <c r="CB94" i="9"/>
  <c r="CC94" i="9"/>
  <c r="CD94" i="9"/>
  <c r="CF94" i="9"/>
  <c r="CG94" i="9"/>
  <c r="BO95" i="9"/>
  <c r="BP95" i="9"/>
  <c r="BR95" i="9"/>
  <c r="BS95" i="9"/>
  <c r="BT95" i="9"/>
  <c r="BU95" i="9"/>
  <c r="BW95" i="9"/>
  <c r="BX95" i="9"/>
  <c r="BY95" i="9"/>
  <c r="BZ95" i="9"/>
  <c r="CA95" i="9"/>
  <c r="CB95" i="9"/>
  <c r="CC95" i="9"/>
  <c r="CD95" i="9"/>
  <c r="CF95" i="9"/>
  <c r="CG95" i="9"/>
  <c r="BO96" i="9"/>
  <c r="BP96" i="9"/>
  <c r="BR96" i="9"/>
  <c r="BS96" i="9"/>
  <c r="BT96" i="9"/>
  <c r="BU96" i="9"/>
  <c r="BW96" i="9"/>
  <c r="BX96" i="9"/>
  <c r="BY96" i="9"/>
  <c r="BZ96" i="9"/>
  <c r="CA96" i="9"/>
  <c r="CB96" i="9"/>
  <c r="CC96" i="9"/>
  <c r="CD96" i="9"/>
  <c r="CF96" i="9"/>
  <c r="CG96" i="9"/>
  <c r="BO97" i="9"/>
  <c r="BP97" i="9"/>
  <c r="BR97" i="9"/>
  <c r="BS97" i="9"/>
  <c r="BT97" i="9"/>
  <c r="BU97" i="9"/>
  <c r="BW97" i="9"/>
  <c r="BX97" i="9"/>
  <c r="BY97" i="9"/>
  <c r="BZ97" i="9"/>
  <c r="CA97" i="9"/>
  <c r="CB97" i="9"/>
  <c r="CC97" i="9"/>
  <c r="CD97" i="9"/>
  <c r="CF97" i="9"/>
  <c r="CG97" i="9"/>
  <c r="BO98" i="9"/>
  <c r="BP98" i="9"/>
  <c r="BR98" i="9"/>
  <c r="BS98" i="9"/>
  <c r="BT98" i="9"/>
  <c r="BU98" i="9"/>
  <c r="BW98" i="9"/>
  <c r="BX98" i="9"/>
  <c r="BY98" i="9"/>
  <c r="BZ98" i="9"/>
  <c r="CA98" i="9"/>
  <c r="CB98" i="9"/>
  <c r="CC98" i="9"/>
  <c r="CD98" i="9"/>
  <c r="CF98" i="9"/>
  <c r="CG98" i="9"/>
  <c r="BO99" i="9"/>
  <c r="BP99" i="9"/>
  <c r="BQ99" i="9"/>
  <c r="BR99" i="9"/>
  <c r="BS99" i="9"/>
  <c r="BT99" i="9"/>
  <c r="BU99" i="9"/>
  <c r="BV99" i="9"/>
  <c r="BW99" i="9"/>
  <c r="BX99" i="9"/>
  <c r="BY99" i="9"/>
  <c r="BZ99" i="9"/>
  <c r="CA99" i="9"/>
  <c r="CB99" i="9"/>
  <c r="CC99" i="9"/>
  <c r="CD99" i="9"/>
  <c r="CF99" i="9"/>
  <c r="CG99" i="9"/>
  <c r="BO100" i="9"/>
  <c r="BP100" i="9"/>
  <c r="BR100" i="9"/>
  <c r="BS100" i="9"/>
  <c r="BT100" i="9"/>
  <c r="BU100" i="9"/>
  <c r="BW100" i="9"/>
  <c r="BX100" i="9"/>
  <c r="BY100" i="9"/>
  <c r="BZ100" i="9"/>
  <c r="CA100" i="9"/>
  <c r="CB100" i="9"/>
  <c r="CC100" i="9"/>
  <c r="CD100" i="9"/>
  <c r="CF100" i="9"/>
  <c r="CG100" i="9"/>
  <c r="BO101" i="9"/>
  <c r="BP101" i="9"/>
  <c r="BQ101" i="9"/>
  <c r="BR101" i="9"/>
  <c r="BS101" i="9"/>
  <c r="BT101" i="9"/>
  <c r="BU101" i="9"/>
  <c r="BV101" i="9"/>
  <c r="BW101" i="9"/>
  <c r="BX101" i="9"/>
  <c r="BY101" i="9"/>
  <c r="BZ101" i="9"/>
  <c r="CA101" i="9"/>
  <c r="CB101" i="9"/>
  <c r="CC101" i="9"/>
  <c r="CD101" i="9"/>
  <c r="CF101" i="9"/>
  <c r="CG101" i="9"/>
  <c r="BO102" i="9"/>
  <c r="BP102" i="9"/>
  <c r="BQ102" i="9"/>
  <c r="BR102" i="9"/>
  <c r="BS102" i="9"/>
  <c r="BT102" i="9"/>
  <c r="BU102" i="9"/>
  <c r="BV102" i="9"/>
  <c r="BW102" i="9"/>
  <c r="BX102" i="9"/>
  <c r="BY102" i="9"/>
  <c r="BZ102" i="9"/>
  <c r="CA102" i="9"/>
  <c r="CB102" i="9"/>
  <c r="CC102" i="9"/>
  <c r="CD102" i="9"/>
  <c r="CF102" i="9"/>
  <c r="CG102" i="9"/>
  <c r="BO103" i="9"/>
  <c r="BP103" i="9"/>
  <c r="BQ103" i="9"/>
  <c r="BR103" i="9"/>
  <c r="BS103" i="9"/>
  <c r="BT103" i="9"/>
  <c r="BU103" i="9"/>
  <c r="BV103" i="9"/>
  <c r="BW103" i="9"/>
  <c r="BX103" i="9"/>
  <c r="BY103" i="9"/>
  <c r="BZ103" i="9"/>
  <c r="CA103" i="9"/>
  <c r="CB103" i="9"/>
  <c r="CC103" i="9"/>
  <c r="CD103" i="9"/>
  <c r="CF103" i="9"/>
  <c r="CG103" i="9"/>
  <c r="BO104" i="9"/>
  <c r="BP104" i="9"/>
  <c r="BR104" i="9"/>
  <c r="BS104" i="9"/>
  <c r="BT104" i="9"/>
  <c r="BU104" i="9"/>
  <c r="BW104" i="9"/>
  <c r="BX104" i="9"/>
  <c r="BY104" i="9"/>
  <c r="BZ104" i="9"/>
  <c r="CA104" i="9"/>
  <c r="CB104" i="9"/>
  <c r="CC104" i="9"/>
  <c r="CD104" i="9"/>
  <c r="CF104" i="9"/>
  <c r="CG104" i="9"/>
  <c r="BO105" i="9"/>
  <c r="BP105" i="9"/>
  <c r="BR105" i="9"/>
  <c r="BS105" i="9"/>
  <c r="BT105" i="9"/>
  <c r="BU105" i="9"/>
  <c r="BW105" i="9"/>
  <c r="BX105" i="9"/>
  <c r="BY105" i="9"/>
  <c r="BZ105" i="9"/>
  <c r="CA105" i="9"/>
  <c r="CB105" i="9"/>
  <c r="CC105" i="9"/>
  <c r="CD105" i="9"/>
  <c r="CF105" i="9"/>
  <c r="CG105" i="9"/>
  <c r="BO106" i="9"/>
  <c r="BP106" i="9"/>
  <c r="BR106" i="9"/>
  <c r="BS106" i="9"/>
  <c r="BT106" i="9"/>
  <c r="BU106" i="9"/>
  <c r="BW106" i="9"/>
  <c r="BX106" i="9"/>
  <c r="BY106" i="9"/>
  <c r="BZ106" i="9"/>
  <c r="CA106" i="9"/>
  <c r="CB106" i="9"/>
  <c r="CC106" i="9"/>
  <c r="CD106" i="9"/>
  <c r="CF106" i="9"/>
  <c r="CG106" i="9"/>
  <c r="BO107" i="9"/>
  <c r="BP107" i="9"/>
  <c r="BR107" i="9"/>
  <c r="BS107" i="9"/>
  <c r="BT107" i="9"/>
  <c r="BU107" i="9"/>
  <c r="BW107" i="9"/>
  <c r="BX107" i="9"/>
  <c r="BY107" i="9"/>
  <c r="BZ107" i="9"/>
  <c r="CA107" i="9"/>
  <c r="CB107" i="9"/>
  <c r="CC107" i="9"/>
  <c r="CD107" i="9"/>
  <c r="CF107" i="9"/>
  <c r="CG107" i="9"/>
  <c r="BO108" i="9"/>
  <c r="BP108" i="9"/>
  <c r="BR108" i="9"/>
  <c r="BS108" i="9"/>
  <c r="BT108" i="9"/>
  <c r="BU108" i="9"/>
  <c r="BW108" i="9"/>
  <c r="BX108" i="9"/>
  <c r="BY108" i="9"/>
  <c r="BZ108" i="9"/>
  <c r="CA108" i="9"/>
  <c r="CB108" i="9"/>
  <c r="CC108" i="9"/>
  <c r="CD108" i="9"/>
  <c r="CF108" i="9"/>
  <c r="CG108" i="9"/>
  <c r="BO109" i="9"/>
  <c r="BP109" i="9"/>
  <c r="BR109" i="9"/>
  <c r="BS109" i="9"/>
  <c r="BT109" i="9"/>
  <c r="BU109" i="9"/>
  <c r="BW109" i="9"/>
  <c r="BX109" i="9"/>
  <c r="BY109" i="9"/>
  <c r="BZ109" i="9"/>
  <c r="CA109" i="9"/>
  <c r="CB109" i="9"/>
  <c r="CC109" i="9"/>
  <c r="CD109" i="9"/>
  <c r="CF109" i="9"/>
  <c r="CG109" i="9"/>
  <c r="BO110" i="9"/>
  <c r="BP110" i="9"/>
  <c r="BR110" i="9"/>
  <c r="BS110" i="9"/>
  <c r="BT110" i="9"/>
  <c r="BU110" i="9"/>
  <c r="BW110" i="9"/>
  <c r="BX110" i="9"/>
  <c r="BY110" i="9"/>
  <c r="BZ110" i="9"/>
  <c r="CA110" i="9"/>
  <c r="CB110" i="9"/>
  <c r="CC110" i="9"/>
  <c r="CD110" i="9"/>
  <c r="CF110" i="9"/>
  <c r="CG110" i="9"/>
  <c r="BO111" i="9"/>
  <c r="BP111" i="9"/>
  <c r="BR111" i="9"/>
  <c r="BS111" i="9"/>
  <c r="BT111" i="9"/>
  <c r="BU111" i="9"/>
  <c r="BW111" i="9"/>
  <c r="BX111" i="9"/>
  <c r="BY111" i="9"/>
  <c r="BZ111" i="9"/>
  <c r="CA111" i="9"/>
  <c r="CB111" i="9"/>
  <c r="CC111" i="9"/>
  <c r="CD111" i="9"/>
  <c r="CF111" i="9"/>
  <c r="CG111" i="9"/>
  <c r="BO112" i="9"/>
  <c r="BP112" i="9"/>
  <c r="BR112" i="9"/>
  <c r="BS112" i="9"/>
  <c r="BT112" i="9"/>
  <c r="BU112" i="9"/>
  <c r="BW112" i="9"/>
  <c r="BX112" i="9"/>
  <c r="BY112" i="9"/>
  <c r="BZ112" i="9"/>
  <c r="CA112" i="9"/>
  <c r="CB112" i="9"/>
  <c r="CC112" i="9"/>
  <c r="CD112" i="9"/>
  <c r="CF112" i="9"/>
  <c r="CG112" i="9"/>
  <c r="BO113" i="9"/>
  <c r="BP113" i="9"/>
  <c r="BR113" i="9"/>
  <c r="BS113" i="9"/>
  <c r="BT113" i="9"/>
  <c r="BU113" i="9"/>
  <c r="BW113" i="9"/>
  <c r="BX113" i="9"/>
  <c r="BY113" i="9"/>
  <c r="BZ113" i="9"/>
  <c r="CA113" i="9"/>
  <c r="CB113" i="9"/>
  <c r="CC113" i="9"/>
  <c r="CD113" i="9"/>
  <c r="CF113" i="9"/>
  <c r="CG113" i="9"/>
  <c r="BO114" i="9"/>
  <c r="BP114" i="9"/>
  <c r="BR114" i="9"/>
  <c r="BS114" i="9"/>
  <c r="BT114" i="9"/>
  <c r="BU114" i="9"/>
  <c r="BW114" i="9"/>
  <c r="BX114" i="9"/>
  <c r="BY114" i="9"/>
  <c r="BZ114" i="9"/>
  <c r="CA114" i="9"/>
  <c r="CB114" i="9"/>
  <c r="CC114" i="9"/>
  <c r="CD114" i="9"/>
  <c r="CF114" i="9"/>
  <c r="CG114" i="9"/>
  <c r="BO115" i="9"/>
  <c r="BP115" i="9"/>
  <c r="BR115" i="9"/>
  <c r="BS115" i="9"/>
  <c r="BT115" i="9"/>
  <c r="BU115" i="9"/>
  <c r="BW115" i="9"/>
  <c r="BX115" i="9"/>
  <c r="BY115" i="9"/>
  <c r="BZ115" i="9"/>
  <c r="CA115" i="9"/>
  <c r="CB115" i="9"/>
  <c r="CC115" i="9"/>
  <c r="CD115" i="9"/>
  <c r="CF115" i="9"/>
  <c r="CG115" i="9"/>
  <c r="BO87" i="9"/>
  <c r="BP87" i="9"/>
  <c r="BQ87" i="9"/>
  <c r="BR87" i="9"/>
  <c r="BS87" i="9"/>
  <c r="BT87" i="9"/>
  <c r="BU87" i="9"/>
  <c r="BV87" i="9"/>
  <c r="BW87" i="9"/>
  <c r="BX87" i="9"/>
  <c r="BY87" i="9"/>
  <c r="BZ87" i="9"/>
  <c r="CA87" i="9"/>
  <c r="CB87" i="9"/>
  <c r="CC87" i="9"/>
  <c r="CD87" i="9"/>
  <c r="CF87" i="9"/>
  <c r="CG87" i="9"/>
  <c r="BO86" i="9"/>
  <c r="BP86" i="9"/>
  <c r="BQ86" i="9"/>
  <c r="BR86" i="9"/>
  <c r="BS86" i="9"/>
  <c r="BT86" i="9"/>
  <c r="BU86" i="9"/>
  <c r="BV86" i="9"/>
  <c r="BW86" i="9"/>
  <c r="BX86" i="9"/>
  <c r="BY86" i="9"/>
  <c r="BZ86" i="9"/>
  <c r="CA86" i="9"/>
  <c r="CB86" i="9"/>
  <c r="CC86" i="9"/>
  <c r="CD86" i="9"/>
  <c r="CF86" i="9"/>
  <c r="CG86" i="9"/>
  <c r="BO85" i="9"/>
  <c r="BP85" i="9"/>
  <c r="BR85" i="9"/>
  <c r="BS85" i="9"/>
  <c r="BT85" i="9"/>
  <c r="BU85" i="9"/>
  <c r="BW85" i="9"/>
  <c r="BX85" i="9"/>
  <c r="BY85" i="9"/>
  <c r="BZ85" i="9"/>
  <c r="CA85" i="9"/>
  <c r="CB85" i="9"/>
  <c r="CC85" i="9"/>
  <c r="CD85" i="9"/>
  <c r="CF85" i="9"/>
  <c r="CG85" i="9"/>
  <c r="BO84" i="9"/>
  <c r="BP84" i="9"/>
  <c r="BR84" i="9"/>
  <c r="BS84" i="9"/>
  <c r="BT84" i="9"/>
  <c r="BU84" i="9"/>
  <c r="BW84" i="9"/>
  <c r="BX84" i="9"/>
  <c r="BY84" i="9"/>
  <c r="BZ84" i="9"/>
  <c r="CA84" i="9"/>
  <c r="CB84" i="9"/>
  <c r="CC84" i="9"/>
  <c r="CD84" i="9"/>
  <c r="CF84" i="9"/>
  <c r="CG84" i="9"/>
  <c r="BO83" i="9"/>
  <c r="BP83" i="9"/>
  <c r="BR83" i="9"/>
  <c r="BS83" i="9"/>
  <c r="BT83" i="9"/>
  <c r="BU83" i="9"/>
  <c r="BW83" i="9"/>
  <c r="BX83" i="9"/>
  <c r="BY83" i="9"/>
  <c r="BZ83" i="9"/>
  <c r="CA83" i="9"/>
  <c r="CB83" i="9"/>
  <c r="CC83" i="9"/>
  <c r="CD83" i="9"/>
  <c r="CF83" i="9"/>
  <c r="CG83" i="9"/>
  <c r="BP82" i="9"/>
  <c r="BR82" i="9"/>
  <c r="BS82" i="9"/>
  <c r="BT82" i="9"/>
  <c r="BU82" i="9"/>
  <c r="BW82" i="9"/>
  <c r="BX82" i="9"/>
  <c r="BY82" i="9"/>
  <c r="BZ82" i="9"/>
  <c r="CA82" i="9"/>
  <c r="CB82" i="9"/>
  <c r="CC82" i="9"/>
  <c r="CD82" i="9"/>
  <c r="CF82" i="9"/>
  <c r="CG82" i="9"/>
  <c r="BO82" i="9"/>
  <c r="BN83" i="9"/>
  <c r="BN84" i="9"/>
  <c r="BN85" i="9"/>
  <c r="BN86" i="9"/>
  <c r="BN87" i="9"/>
  <c r="BN88" i="9"/>
  <c r="BN89" i="9"/>
  <c r="BN90" i="9"/>
  <c r="BN91" i="9"/>
  <c r="BN92" i="9"/>
  <c r="BN93" i="9"/>
  <c r="BN94" i="9"/>
  <c r="BN95" i="9"/>
  <c r="BN96" i="9"/>
  <c r="BN97" i="9"/>
  <c r="BN98" i="9"/>
  <c r="BN99" i="9"/>
  <c r="BN100" i="9"/>
  <c r="BN101" i="9"/>
  <c r="BN102" i="9"/>
  <c r="BN103" i="9"/>
  <c r="BN104" i="9"/>
  <c r="BN105" i="9"/>
  <c r="BN106" i="9"/>
  <c r="BN107" i="9"/>
  <c r="BN108" i="9"/>
  <c r="BN109" i="9"/>
  <c r="BN110" i="9"/>
  <c r="BN111" i="9"/>
  <c r="BN112" i="9"/>
  <c r="BN113" i="9"/>
  <c r="BN114" i="9"/>
  <c r="BN115" i="9"/>
  <c r="BN82" i="9"/>
  <c r="DQ4" i="9"/>
  <c r="DV4" i="9"/>
  <c r="EE4" i="9"/>
  <c r="DQ5" i="9"/>
  <c r="EI5" i="9" s="1"/>
  <c r="DV5" i="9"/>
  <c r="EE5" i="9"/>
  <c r="DQ6" i="9"/>
  <c r="EI6" i="9" s="1"/>
  <c r="DV6" i="9"/>
  <c r="EE6" i="9"/>
  <c r="DQ9" i="9"/>
  <c r="DV9" i="9"/>
  <c r="EE9" i="9"/>
  <c r="DQ10" i="9"/>
  <c r="DV10" i="9"/>
  <c r="EE10" i="9"/>
  <c r="DQ11" i="9"/>
  <c r="EI11" i="9" s="1"/>
  <c r="DV11" i="9"/>
  <c r="EE11" i="9"/>
  <c r="DQ12" i="9"/>
  <c r="EH12" i="9" s="1"/>
  <c r="DV12" i="9"/>
  <c r="EE12" i="9"/>
  <c r="DQ13" i="9"/>
  <c r="EI13" i="9" s="1"/>
  <c r="DV13" i="9"/>
  <c r="EE13" i="9"/>
  <c r="DQ14" i="9"/>
  <c r="EI14" i="9" s="1"/>
  <c r="DV14" i="9"/>
  <c r="EE14" i="9"/>
  <c r="EE15" i="9"/>
  <c r="DQ16" i="9"/>
  <c r="EH16" i="9" s="1"/>
  <c r="DV16" i="9"/>
  <c r="EE16" i="9"/>
  <c r="DQ17" i="9"/>
  <c r="EI17" i="9" s="1"/>
  <c r="DV17" i="9"/>
  <c r="EE17" i="9"/>
  <c r="DQ18" i="9"/>
  <c r="EI18" i="9" s="1"/>
  <c r="DV18" i="9"/>
  <c r="EE18" i="9"/>
  <c r="DQ21" i="9"/>
  <c r="EI21" i="9" s="1"/>
  <c r="DV21" i="9"/>
  <c r="EE21" i="9"/>
  <c r="DQ25" i="9"/>
  <c r="EH25" i="9" s="1"/>
  <c r="DV25" i="9"/>
  <c r="EE25" i="9"/>
  <c r="DV26" i="9"/>
  <c r="EE26" i="9"/>
  <c r="DQ27" i="9"/>
  <c r="DV27" i="9"/>
  <c r="EE27" i="9"/>
  <c r="DQ29" i="9"/>
  <c r="EI29" i="9" s="1"/>
  <c r="DV29" i="9"/>
  <c r="EE29" i="9"/>
  <c r="DQ30" i="9"/>
  <c r="EI30" i="9" s="1"/>
  <c r="DV30" i="9"/>
  <c r="EE30" i="9"/>
  <c r="DQ35" i="9"/>
  <c r="EH35" i="9" s="1"/>
  <c r="DV35" i="9"/>
  <c r="EE35" i="9"/>
  <c r="EJ30" i="9"/>
  <c r="EG39" i="9"/>
  <c r="EF39" i="9"/>
  <c r="ED39" i="9"/>
  <c r="EC39" i="9"/>
  <c r="EB39" i="9"/>
  <c r="EA39" i="9"/>
  <c r="DZ39" i="9"/>
  <c r="DY39" i="9"/>
  <c r="DX39" i="9"/>
  <c r="DW39" i="9"/>
  <c r="DU39" i="9"/>
  <c r="DT39" i="9"/>
  <c r="DS39" i="9"/>
  <c r="DR39" i="9"/>
  <c r="DP39" i="9"/>
  <c r="DO39" i="9"/>
  <c r="EJ35" i="9"/>
  <c r="EJ29" i="9"/>
  <c r="EJ27" i="9"/>
  <c r="EJ26" i="9"/>
  <c r="EJ25" i="9"/>
  <c r="EJ21" i="9"/>
  <c r="EJ18" i="9"/>
  <c r="EJ17" i="9"/>
  <c r="EJ16" i="9"/>
  <c r="EJ14" i="9"/>
  <c r="EJ13" i="9"/>
  <c r="EJ12" i="9"/>
  <c r="EJ11" i="9"/>
  <c r="EJ10" i="9"/>
  <c r="EJ9" i="9"/>
  <c r="EJ6" i="9"/>
  <c r="EJ5" i="9"/>
  <c r="EJ4" i="9"/>
  <c r="Z53" i="10" l="1"/>
  <c r="EI25" i="9"/>
  <c r="EK25" i="9" s="1"/>
  <c r="EI12" i="9"/>
  <c r="EK12" i="9" s="1"/>
  <c r="EK30" i="9"/>
  <c r="EH30" i="9"/>
  <c r="EH10" i="9"/>
  <c r="EI10" i="9"/>
  <c r="EK10" i="9" s="1"/>
  <c r="EI16" i="9"/>
  <c r="EK16" i="9" s="1"/>
  <c r="EE39" i="9"/>
  <c r="EI27" i="9"/>
  <c r="EK27" i="9" s="1"/>
  <c r="EH27" i="9"/>
  <c r="EI26" i="9"/>
  <c r="EK26" i="9" s="1"/>
  <c r="EH26" i="9"/>
  <c r="EH14" i="9"/>
  <c r="EK21" i="9"/>
  <c r="EH9" i="9"/>
  <c r="EI4" i="9"/>
  <c r="EK4" i="9" s="1"/>
  <c r="EH29" i="9"/>
  <c r="EK11" i="9"/>
  <c r="EI35" i="9"/>
  <c r="EK35" i="9" s="1"/>
  <c r="DV39" i="9"/>
  <c r="EH11" i="9"/>
  <c r="EK29" i="9"/>
  <c r="EK18" i="9"/>
  <c r="EK14" i="9"/>
  <c r="EH13" i="9"/>
  <c r="EK13" i="9"/>
  <c r="EK5" i="9"/>
  <c r="EK6" i="9"/>
  <c r="EK17" i="9"/>
  <c r="EJ39" i="9"/>
  <c r="EH21" i="9"/>
  <c r="EH6" i="9"/>
  <c r="EI9" i="9"/>
  <c r="EK9" i="9" s="1"/>
  <c r="EH18" i="9"/>
  <c r="DQ39" i="9"/>
  <c r="EH5" i="9"/>
  <c r="EH17" i="9"/>
  <c r="EH4" i="9"/>
  <c r="EI39" i="9" l="1"/>
  <c r="EK39" i="9" s="1"/>
  <c r="EH39" i="9"/>
  <c r="DG21" i="9"/>
  <c r="DB21" i="9"/>
  <c r="CE100" i="9" s="1"/>
  <c r="CS21" i="9"/>
  <c r="CN21" i="9"/>
  <c r="BQ100" i="9" s="1"/>
  <c r="BV100" i="9" l="1"/>
  <c r="CJ100" i="9" s="1"/>
  <c r="DE21" i="9"/>
  <c r="DF21" i="9"/>
  <c r="DH21" i="9" s="1"/>
  <c r="DG29" i="9"/>
  <c r="DG27" i="9"/>
  <c r="DB29" i="9"/>
  <c r="CE108" i="9" s="1"/>
  <c r="CS29" i="9"/>
  <c r="CN29" i="9"/>
  <c r="BV108" i="9" l="1"/>
  <c r="CJ108" i="9" s="1"/>
  <c r="DE29" i="9"/>
  <c r="BQ108" i="9"/>
  <c r="CI100" i="9"/>
  <c r="CK100" i="9" s="1"/>
  <c r="CN100" i="9"/>
  <c r="CL100" i="9"/>
  <c r="CM100" i="9" s="1"/>
  <c r="CH100" i="9"/>
  <c r="DF29" i="9"/>
  <c r="CL108" i="9" l="1"/>
  <c r="CM108" i="9" s="1"/>
  <c r="CI108" i="9"/>
  <c r="CK108" i="9" s="1"/>
  <c r="CH108" i="9"/>
  <c r="CN108" i="9"/>
  <c r="DH29" i="9"/>
  <c r="CN16" i="9"/>
  <c r="DG35" i="9" l="1"/>
  <c r="DB32" i="9"/>
  <c r="CE111" i="9" s="1"/>
  <c r="DB35" i="9"/>
  <c r="CE114" i="9" s="1"/>
  <c r="CS35" i="9"/>
  <c r="BV114" i="9" s="1"/>
  <c r="CN35" i="9"/>
  <c r="BQ114" i="9" s="1"/>
  <c r="DE35" i="9" l="1"/>
  <c r="DF35" i="9"/>
  <c r="DH35" i="9" s="1"/>
  <c r="CL114" i="9"/>
  <c r="CM114" i="9" s="1"/>
  <c r="CN114" i="9"/>
  <c r="CJ114" i="9"/>
  <c r="CI114" i="9"/>
  <c r="CH114" i="9"/>
  <c r="CK114" i="9" l="1"/>
  <c r="DG25" i="9" l="1"/>
  <c r="DB25" i="9"/>
  <c r="CS25" i="9"/>
  <c r="CN25" i="9"/>
  <c r="DE25" i="9" s="1"/>
  <c r="DF25" i="9" l="1"/>
  <c r="DH25" i="9" s="1"/>
  <c r="CF42" i="9" l="1"/>
  <c r="CD42" i="9"/>
  <c r="CB42" i="9"/>
  <c r="BZ42" i="9"/>
  <c r="DB4" i="9" l="1"/>
  <c r="CS13" i="9"/>
  <c r="BV92" i="9" s="1"/>
  <c r="DG13" i="9"/>
  <c r="CN13" i="9"/>
  <c r="DE13" i="9" l="1"/>
  <c r="BQ92" i="9"/>
  <c r="DF13" i="9"/>
  <c r="DH13" i="9" s="1"/>
  <c r="DG32" i="9"/>
  <c r="CS32" i="9"/>
  <c r="BV111" i="9" s="1"/>
  <c r="CN32" i="9"/>
  <c r="DF32" i="9" l="1"/>
  <c r="DH32" i="9" s="1"/>
  <c r="BQ111" i="9"/>
  <c r="CJ111" i="9"/>
  <c r="DE32" i="9"/>
  <c r="CH111" i="9" l="1"/>
  <c r="CL111" i="9"/>
  <c r="CM111" i="9" s="1"/>
  <c r="CI111" i="9"/>
  <c r="CK111" i="9" s="1"/>
  <c r="CN111" i="9"/>
  <c r="CM39" i="9"/>
  <c r="CO39" i="9"/>
  <c r="CP39" i="9"/>
  <c r="CQ39" i="9"/>
  <c r="CR39" i="9"/>
  <c r="CT39" i="9"/>
  <c r="CU39" i="9"/>
  <c r="CV39" i="9"/>
  <c r="CW39" i="9"/>
  <c r="CX39" i="9"/>
  <c r="CY39" i="9"/>
  <c r="CZ39" i="9"/>
  <c r="DA39" i="9"/>
  <c r="DC39" i="9"/>
  <c r="DD39" i="9"/>
  <c r="CN3" i="9"/>
  <c r="CS3" i="9"/>
  <c r="DB3" i="9"/>
  <c r="CN4" i="9"/>
  <c r="CS4" i="9"/>
  <c r="CN5" i="9"/>
  <c r="CS5" i="9"/>
  <c r="DB5" i="9"/>
  <c r="CN6" i="9"/>
  <c r="CS6" i="9"/>
  <c r="DB6" i="9"/>
  <c r="CN9" i="9"/>
  <c r="CS9" i="9"/>
  <c r="DB9" i="9"/>
  <c r="CN10" i="9"/>
  <c r="CS10" i="9"/>
  <c r="DB10" i="9"/>
  <c r="CN11" i="9"/>
  <c r="CS11" i="9"/>
  <c r="DB11" i="9"/>
  <c r="CN12" i="9"/>
  <c r="CS12" i="9"/>
  <c r="DB12" i="9"/>
  <c r="DB13" i="9"/>
  <c r="CN14" i="9"/>
  <c r="CS14" i="9"/>
  <c r="DB14" i="9"/>
  <c r="DB15" i="9"/>
  <c r="CS16" i="9"/>
  <c r="DB16" i="9"/>
  <c r="CN17" i="9"/>
  <c r="CS17" i="9"/>
  <c r="DB17" i="9"/>
  <c r="CN18" i="9"/>
  <c r="CS18" i="9"/>
  <c r="DB18" i="9"/>
  <c r="CN26" i="9"/>
  <c r="CS26" i="9"/>
  <c r="DB26" i="9"/>
  <c r="CN27" i="9"/>
  <c r="DF27" i="9" s="1"/>
  <c r="DH27" i="9" s="1"/>
  <c r="CS27" i="9"/>
  <c r="DB27" i="9"/>
  <c r="CN31" i="9"/>
  <c r="CL39" i="9"/>
  <c r="DG39" i="9" l="1"/>
  <c r="DB39" i="9"/>
  <c r="CN39" i="9"/>
  <c r="DE39" i="9" s="1"/>
  <c r="CS39" i="9"/>
  <c r="DG26" i="9"/>
  <c r="DF26" i="9"/>
  <c r="DG18" i="9"/>
  <c r="DF18" i="9"/>
  <c r="DG17" i="9"/>
  <c r="DF17" i="9"/>
  <c r="DG16" i="9"/>
  <c r="DE16" i="9"/>
  <c r="DG14" i="9"/>
  <c r="DE14" i="9"/>
  <c r="DG12" i="9"/>
  <c r="DE12" i="9"/>
  <c r="DG11" i="9"/>
  <c r="DE11" i="9"/>
  <c r="DG10" i="9"/>
  <c r="DF10" i="9"/>
  <c r="DG9" i="9"/>
  <c r="DF9" i="9"/>
  <c r="DG6" i="9"/>
  <c r="DE6" i="9"/>
  <c r="DG5" i="9"/>
  <c r="DF5" i="9"/>
  <c r="DG4" i="9"/>
  <c r="DF4" i="9"/>
  <c r="DG3" i="9"/>
  <c r="DF3" i="9"/>
  <c r="DF39" i="9" l="1"/>
  <c r="DH39" i="9" s="1"/>
  <c r="DH3" i="9"/>
  <c r="DF16" i="9"/>
  <c r="DH16" i="9" s="1"/>
  <c r="DH10" i="9"/>
  <c r="DF11" i="9"/>
  <c r="DH11" i="9" s="1"/>
  <c r="DH17" i="9"/>
  <c r="DE10" i="9"/>
  <c r="DH9" i="9"/>
  <c r="DE3" i="9"/>
  <c r="DH18" i="9"/>
  <c r="DE9" i="9"/>
  <c r="DF14" i="9"/>
  <c r="DH14" i="9" s="1"/>
  <c r="DF12" i="9"/>
  <c r="DH12" i="9" s="1"/>
  <c r="DE17" i="9"/>
  <c r="DH4" i="9"/>
  <c r="DH26" i="9"/>
  <c r="DH5" i="9"/>
  <c r="DE5" i="9"/>
  <c r="DF6" i="9"/>
  <c r="DH6" i="9" s="1"/>
  <c r="DE27" i="9"/>
  <c r="DE4" i="9"/>
  <c r="DE18" i="9"/>
  <c r="DE26" i="9"/>
  <c r="AF39" i="9" l="1"/>
  <c r="AG39" i="9"/>
  <c r="AH39" i="9"/>
  <c r="AI39" i="9"/>
  <c r="AJ39" i="9"/>
  <c r="AK39" i="9"/>
  <c r="AL39" i="9"/>
  <c r="AM39" i="9"/>
  <c r="AN39" i="9"/>
  <c r="AO39" i="9"/>
  <c r="AP39" i="9"/>
  <c r="AQ39" i="9"/>
  <c r="AR39" i="9"/>
  <c r="AS39" i="9"/>
  <c r="AT39" i="9"/>
  <c r="AU39" i="9"/>
  <c r="AW39" i="9"/>
  <c r="BY4" i="9" l="1"/>
  <c r="CE83" i="9" s="1"/>
  <c r="AB18" i="10" l="1"/>
  <c r="AA19" i="10" l="1"/>
  <c r="AD20" i="10"/>
  <c r="AD18" i="10"/>
  <c r="Y19" i="10"/>
  <c r="Z19" i="10"/>
  <c r="Z18" i="10"/>
  <c r="AC19" i="10"/>
  <c r="AC18" i="10"/>
  <c r="AB19" i="10"/>
  <c r="H26" i="10"/>
  <c r="AB20" i="10"/>
  <c r="Z20" i="10"/>
  <c r="AA20" i="10"/>
  <c r="AC20" i="10"/>
  <c r="AD19" i="10"/>
  <c r="AA18" i="10"/>
  <c r="X19" i="10"/>
  <c r="C26" i="10"/>
  <c r="G26" i="10"/>
  <c r="X20" i="10"/>
  <c r="X18" i="10"/>
  <c r="Y20" i="10"/>
  <c r="F26" i="10"/>
  <c r="Y18" i="10"/>
  <c r="D26" i="10"/>
  <c r="E26" i="10"/>
  <c r="I26" i="10"/>
  <c r="AV7" i="9" l="1"/>
  <c r="AV9" i="9"/>
  <c r="AV10" i="9"/>
  <c r="AV11" i="9"/>
  <c r="AV13" i="9"/>
  <c r="AV14" i="9"/>
  <c r="AV17" i="9"/>
  <c r="AV18" i="9"/>
  <c r="AV20" i="9"/>
  <c r="AV23" i="9"/>
  <c r="CE102" i="9" s="1"/>
  <c r="AV24" i="9"/>
  <c r="AV25" i="9"/>
  <c r="AV26" i="9"/>
  <c r="AV27" i="9"/>
  <c r="AV30" i="9"/>
  <c r="AV34" i="9"/>
  <c r="AV5" i="9"/>
  <c r="AV3" i="9"/>
  <c r="U7" i="9"/>
  <c r="U8" i="9"/>
  <c r="CE87" i="9" s="1"/>
  <c r="U9" i="9"/>
  <c r="U10" i="9"/>
  <c r="U11" i="9"/>
  <c r="U13" i="9"/>
  <c r="U14" i="9"/>
  <c r="U15" i="9"/>
  <c r="U16" i="9"/>
  <c r="U17" i="9"/>
  <c r="U18" i="9"/>
  <c r="U19" i="9"/>
  <c r="CE98" i="9" s="1"/>
  <c r="U20" i="9"/>
  <c r="U22" i="9"/>
  <c r="CE101" i="9" s="1"/>
  <c r="U24" i="9"/>
  <c r="U25" i="9"/>
  <c r="U26" i="9"/>
  <c r="U27" i="9"/>
  <c r="U28" i="9"/>
  <c r="U30" i="9"/>
  <c r="U31" i="9"/>
  <c r="CE110" i="9" s="1"/>
  <c r="U33" i="9"/>
  <c r="CE112" i="9" s="1"/>
  <c r="U34" i="9"/>
  <c r="U5" i="9"/>
  <c r="CE86" i="9" l="1"/>
  <c r="CE99" i="9"/>
  <c r="CE103" i="9"/>
  <c r="AV39" i="9"/>
  <c r="U39" i="9"/>
  <c r="CD37" i="9"/>
  <c r="CD38" i="9"/>
  <c r="CD4" i="9"/>
  <c r="BY37" i="9"/>
  <c r="BY38" i="9"/>
  <c r="BY5" i="9"/>
  <c r="CE84" i="9" s="1"/>
  <c r="BY6" i="9"/>
  <c r="CE85" i="9" s="1"/>
  <c r="BY9" i="9"/>
  <c r="CE88" i="9" s="1"/>
  <c r="BY10" i="9"/>
  <c r="CE89" i="9" s="1"/>
  <c r="BY11" i="9"/>
  <c r="CE90" i="9" s="1"/>
  <c r="BY12" i="9"/>
  <c r="CE91" i="9" s="1"/>
  <c r="BY13" i="9"/>
  <c r="CE92" i="9" s="1"/>
  <c r="BY14" i="9"/>
  <c r="CE93" i="9" s="1"/>
  <c r="BY15" i="9"/>
  <c r="CE94" i="9" s="1"/>
  <c r="BY16" i="9"/>
  <c r="CE95" i="9" s="1"/>
  <c r="BY17" i="9"/>
  <c r="CE96" i="9" s="1"/>
  <c r="BY18" i="9"/>
  <c r="CE97" i="9" s="1"/>
  <c r="BY25" i="9"/>
  <c r="CE104" i="9" s="1"/>
  <c r="BY26" i="9"/>
  <c r="CE105" i="9" s="1"/>
  <c r="BY27" i="9"/>
  <c r="CE106" i="9" s="1"/>
  <c r="BY28" i="9"/>
  <c r="CE107" i="9" s="1"/>
  <c r="BY30" i="9"/>
  <c r="CE109" i="9" s="1"/>
  <c r="BY34" i="9"/>
  <c r="CE113" i="9" s="1"/>
  <c r="BY36" i="9"/>
  <c r="CE115" i="9" s="1"/>
  <c r="BY3" i="9"/>
  <c r="CE82" i="9" s="1"/>
  <c r="CE116" i="9" l="1"/>
  <c r="BY39" i="9"/>
  <c r="CD16" i="9" l="1"/>
  <c r="BK16" i="9"/>
  <c r="BQ95" i="9" s="1"/>
  <c r="BP16" i="9"/>
  <c r="BV95" i="9" s="1"/>
  <c r="CC16" i="9" l="1"/>
  <c r="CE16" i="9" s="1"/>
  <c r="CB16" i="9"/>
  <c r="BM41" i="9" l="1"/>
  <c r="BL41" i="9"/>
  <c r="CQ43" i="9" l="1"/>
  <c r="CP43" i="9"/>
  <c r="BP4" i="9" l="1"/>
  <c r="BV83" i="9" s="1"/>
  <c r="BK4" i="9"/>
  <c r="BQ83" i="9" s="1"/>
  <c r="CC4" i="9" l="1"/>
  <c r="CE4" i="9" s="1"/>
  <c r="CJ83" i="9"/>
  <c r="CB4" i="9"/>
  <c r="BJ39" i="9"/>
  <c r="BL39" i="9"/>
  <c r="BM39" i="9"/>
  <c r="BN39" i="9"/>
  <c r="BO39" i="9"/>
  <c r="BQ39" i="9"/>
  <c r="BR39" i="9"/>
  <c r="BS39" i="9"/>
  <c r="BT39" i="9"/>
  <c r="BU39" i="9"/>
  <c r="BV39" i="9"/>
  <c r="BW39" i="9"/>
  <c r="BX39" i="9"/>
  <c r="BZ39" i="9"/>
  <c r="CA39" i="9"/>
  <c r="BK3" i="9"/>
  <c r="BQ82" i="9" s="1"/>
  <c r="BP3" i="9"/>
  <c r="BV82" i="9" s="1"/>
  <c r="BK5" i="9"/>
  <c r="BQ84" i="9" s="1"/>
  <c r="BP5" i="9"/>
  <c r="BV84" i="9" s="1"/>
  <c r="BK6" i="9"/>
  <c r="BQ85" i="9" s="1"/>
  <c r="BP6" i="9"/>
  <c r="BV85" i="9" s="1"/>
  <c r="BK9" i="9"/>
  <c r="BQ88" i="9" s="1"/>
  <c r="BP9" i="9"/>
  <c r="BV88" i="9" s="1"/>
  <c r="BK10" i="9"/>
  <c r="BQ89" i="9" s="1"/>
  <c r="BP10" i="9"/>
  <c r="BV89" i="9" s="1"/>
  <c r="BK11" i="9"/>
  <c r="BQ90" i="9" s="1"/>
  <c r="BP11" i="9"/>
  <c r="BV90" i="9" s="1"/>
  <c r="BK12" i="9"/>
  <c r="BQ91" i="9" s="1"/>
  <c r="BP12" i="9"/>
  <c r="BV91" i="9" s="1"/>
  <c r="BK14" i="9"/>
  <c r="BQ93" i="9" s="1"/>
  <c r="BP14" i="9"/>
  <c r="BV93" i="9" s="1"/>
  <c r="BK17" i="9"/>
  <c r="BQ96" i="9" s="1"/>
  <c r="BP17" i="9"/>
  <c r="BV96" i="9" s="1"/>
  <c r="BK18" i="9"/>
  <c r="BQ97" i="9" s="1"/>
  <c r="BP18" i="9"/>
  <c r="BV97" i="9" s="1"/>
  <c r="BK19" i="9"/>
  <c r="BQ98" i="9" s="1"/>
  <c r="BP19" i="9"/>
  <c r="BV98" i="9" s="1"/>
  <c r="BK25" i="9"/>
  <c r="BQ104" i="9" s="1"/>
  <c r="BP25" i="9"/>
  <c r="BV104" i="9" s="1"/>
  <c r="BK26" i="9"/>
  <c r="BQ105" i="9" s="1"/>
  <c r="BP26" i="9"/>
  <c r="BV105" i="9" s="1"/>
  <c r="BK27" i="9"/>
  <c r="BQ106" i="9" s="1"/>
  <c r="BP27" i="9"/>
  <c r="BV106" i="9" s="1"/>
  <c r="BK28" i="9"/>
  <c r="BQ107" i="9" s="1"/>
  <c r="BP28" i="9"/>
  <c r="BV107" i="9" s="1"/>
  <c r="BK30" i="9"/>
  <c r="BQ109" i="9" s="1"/>
  <c r="BP30" i="9"/>
  <c r="BV109" i="9" s="1"/>
  <c r="BK31" i="9"/>
  <c r="BQ110" i="9" s="1"/>
  <c r="BP31" i="9"/>
  <c r="BV110" i="9" s="1"/>
  <c r="BK33" i="9"/>
  <c r="BQ112" i="9" s="1"/>
  <c r="BP33" i="9"/>
  <c r="BV112" i="9" s="1"/>
  <c r="BK34" i="9"/>
  <c r="BQ113" i="9" s="1"/>
  <c r="BP34" i="9"/>
  <c r="BV113" i="9" s="1"/>
  <c r="BK36" i="9"/>
  <c r="BQ115" i="9" s="1"/>
  <c r="BP36" i="9"/>
  <c r="BV115" i="9" s="1"/>
  <c r="BK37" i="9"/>
  <c r="BP37" i="9"/>
  <c r="BK38" i="9"/>
  <c r="BP38" i="9"/>
  <c r="BI39" i="9"/>
  <c r="CD6" i="9"/>
  <c r="CB27" i="9" l="1"/>
  <c r="CC38" i="9"/>
  <c r="CE38" i="9" s="1"/>
  <c r="CB38" i="9"/>
  <c r="CC37" i="9"/>
  <c r="CE37" i="9" s="1"/>
  <c r="CB37" i="9"/>
  <c r="CN85" i="9"/>
  <c r="CL85" i="9"/>
  <c r="CM85" i="9" s="1"/>
  <c r="CI85" i="9"/>
  <c r="CH85" i="9"/>
  <c r="CL83" i="9"/>
  <c r="CM83" i="9" s="1"/>
  <c r="CI83" i="9"/>
  <c r="CK83" i="9" s="1"/>
  <c r="CH83" i="9"/>
  <c r="CN83" i="9"/>
  <c r="CJ85" i="9"/>
  <c r="CB6" i="9"/>
  <c r="BP39" i="9"/>
  <c r="BK39" i="9"/>
  <c r="CC6" i="9"/>
  <c r="CK85" i="9" l="1"/>
  <c r="CE6" i="9"/>
  <c r="CC3" i="9"/>
  <c r="CD3" i="9"/>
  <c r="CD34" i="9"/>
  <c r="CC34" i="9"/>
  <c r="CE34" i="9" l="1"/>
  <c r="CB34" i="9"/>
  <c r="CE3" i="9"/>
  <c r="CB3" i="9"/>
  <c r="CD36" i="9" l="1"/>
  <c r="CJ115" i="9"/>
  <c r="CC36" i="9" l="1"/>
  <c r="CE36" i="9" s="1"/>
  <c r="CB36" i="9"/>
  <c r="CH115" i="9" l="1"/>
  <c r="CL115" i="9"/>
  <c r="CM115" i="9" s="1"/>
  <c r="CN115" i="9"/>
  <c r="CI115" i="9"/>
  <c r="CK115" i="9" s="1"/>
  <c r="CF116" i="9"/>
  <c r="CD30" i="9"/>
  <c r="CC30" i="9"/>
  <c r="CD27" i="9"/>
  <c r="CC27" i="9"/>
  <c r="CD26" i="9"/>
  <c r="CC26" i="9"/>
  <c r="CD25" i="9"/>
  <c r="CC25" i="9"/>
  <c r="CD18" i="9"/>
  <c r="CC18" i="9"/>
  <c r="CD17" i="9"/>
  <c r="CB17" i="9"/>
  <c r="CD14" i="9"/>
  <c r="CC14" i="9"/>
  <c r="CD12" i="9"/>
  <c r="CC12" i="9"/>
  <c r="CD11" i="9"/>
  <c r="CB11" i="9"/>
  <c r="CD10" i="9"/>
  <c r="CB10" i="9"/>
  <c r="CD9" i="9"/>
  <c r="CC9" i="9"/>
  <c r="CD5" i="9"/>
  <c r="CC5" i="9"/>
  <c r="BV116" i="9" l="1"/>
  <c r="CB116" i="9"/>
  <c r="BT116" i="9"/>
  <c r="CA116" i="9"/>
  <c r="BS116" i="9"/>
  <c r="BU116" i="9"/>
  <c r="BZ116" i="9"/>
  <c r="BY116" i="9"/>
  <c r="BX116" i="9"/>
  <c r="BP116" i="9"/>
  <c r="CD116" i="9"/>
  <c r="CC116" i="9"/>
  <c r="BR116" i="9"/>
  <c r="CG116" i="9"/>
  <c r="BW116" i="9"/>
  <c r="BO116" i="9"/>
  <c r="CJ109" i="9"/>
  <c r="CJ91" i="9"/>
  <c r="CJ101" i="9"/>
  <c r="CJ106" i="9"/>
  <c r="CJ112" i="9"/>
  <c r="CJ84" i="9"/>
  <c r="CH107" i="9"/>
  <c r="CJ94" i="9"/>
  <c r="CJ98" i="9"/>
  <c r="CJ107" i="9"/>
  <c r="CH113" i="9"/>
  <c r="CJ89" i="9"/>
  <c r="CH82" i="9"/>
  <c r="CH87" i="9"/>
  <c r="CI94" i="9"/>
  <c r="CJ104" i="9"/>
  <c r="CJ105" i="9"/>
  <c r="CJ97" i="9"/>
  <c r="CJ96" i="9"/>
  <c r="CJ90" i="9"/>
  <c r="CJ88" i="9"/>
  <c r="CJ113" i="9"/>
  <c r="CJ103" i="9"/>
  <c r="CN101" i="9"/>
  <c r="CH96" i="9"/>
  <c r="CN95" i="9"/>
  <c r="CI107" i="9"/>
  <c r="CN113" i="9"/>
  <c r="CI86" i="9"/>
  <c r="CN86" i="9"/>
  <c r="CN102" i="9"/>
  <c r="CN94" i="9"/>
  <c r="CJ92" i="9"/>
  <c r="CN110" i="9"/>
  <c r="CL102" i="9"/>
  <c r="CM102" i="9" s="1"/>
  <c r="CN82" i="9"/>
  <c r="CN87" i="9"/>
  <c r="CL110" i="9"/>
  <c r="CM110" i="9" s="1"/>
  <c r="CL94" i="9"/>
  <c r="CM94" i="9" s="1"/>
  <c r="CJ93" i="9"/>
  <c r="CJ82" i="9"/>
  <c r="CL86" i="9"/>
  <c r="CM86" i="9" s="1"/>
  <c r="CJ86" i="9"/>
  <c r="CJ87" i="9"/>
  <c r="CI113" i="9"/>
  <c r="CI109" i="9"/>
  <c r="CJ102" i="9"/>
  <c r="CL101" i="9"/>
  <c r="CM101" i="9" s="1"/>
  <c r="CN99" i="9"/>
  <c r="CN92" i="9"/>
  <c r="CL113" i="9"/>
  <c r="CM113" i="9" s="1"/>
  <c r="CJ110" i="9"/>
  <c r="CL107" i="9"/>
  <c r="CM107" i="9" s="1"/>
  <c r="CN103" i="9"/>
  <c r="CL92" i="9"/>
  <c r="CM92" i="9" s="1"/>
  <c r="CN112" i="9"/>
  <c r="CN107" i="9"/>
  <c r="CH103" i="9"/>
  <c r="CL95" i="9"/>
  <c r="CM95" i="9" s="1"/>
  <c r="CH102" i="9"/>
  <c r="CL112" i="9"/>
  <c r="CM112" i="9" s="1"/>
  <c r="CL103" i="9"/>
  <c r="CM103" i="9" s="1"/>
  <c r="CI99" i="9"/>
  <c r="CJ95" i="9"/>
  <c r="CN105" i="9"/>
  <c r="CH99" i="9"/>
  <c r="CJ99" i="9"/>
  <c r="CI82" i="9"/>
  <c r="CI95" i="9"/>
  <c r="CI87" i="9"/>
  <c r="CH95" i="9"/>
  <c r="CH88" i="9"/>
  <c r="CH94" i="9"/>
  <c r="CH92" i="9"/>
  <c r="CN98" i="9"/>
  <c r="CI103" i="9"/>
  <c r="CN90" i="9"/>
  <c r="CI112" i="9"/>
  <c r="CI102" i="9"/>
  <c r="CL82" i="9"/>
  <c r="CM82" i="9" s="1"/>
  <c r="CL87" i="9"/>
  <c r="CM87" i="9" s="1"/>
  <c r="CL99" i="9"/>
  <c r="CM99" i="9" s="1"/>
  <c r="CI110" i="9"/>
  <c r="CI92" i="9"/>
  <c r="CH112" i="9"/>
  <c r="CH101" i="9"/>
  <c r="CN106" i="9"/>
  <c r="CI101" i="9"/>
  <c r="CH86" i="9"/>
  <c r="CH110" i="9"/>
  <c r="CN89" i="9"/>
  <c r="CE12" i="9"/>
  <c r="CC11" i="9"/>
  <c r="CE11" i="9" s="1"/>
  <c r="CE27" i="9"/>
  <c r="CE18" i="9"/>
  <c r="CE30" i="9"/>
  <c r="CE25" i="9"/>
  <c r="CE26" i="9"/>
  <c r="CE5" i="9"/>
  <c r="CB5" i="9"/>
  <c r="CD39" i="9"/>
  <c r="CB12" i="9"/>
  <c r="CE14" i="9"/>
  <c r="CB18" i="9"/>
  <c r="CE9" i="9"/>
  <c r="CB26" i="9"/>
  <c r="CC10" i="9"/>
  <c r="CE10" i="9" s="1"/>
  <c r="CC17" i="9"/>
  <c r="CE17" i="9" s="1"/>
  <c r="CB14" i="9"/>
  <c r="CB25" i="9"/>
  <c r="CB9" i="9"/>
  <c r="CB30" i="9"/>
  <c r="BQ116" i="9" l="1"/>
  <c r="CK101" i="9"/>
  <c r="CK107" i="9"/>
  <c r="CK110" i="9"/>
  <c r="CK112" i="9"/>
  <c r="CK109" i="9"/>
  <c r="CK94" i="9"/>
  <c r="CK92" i="9"/>
  <c r="CL109" i="9"/>
  <c r="CM109" i="9" s="1"/>
  <c r="CK103" i="9"/>
  <c r="CK82" i="9"/>
  <c r="CK99" i="9"/>
  <c r="CK86" i="9"/>
  <c r="CK102" i="9"/>
  <c r="CH109" i="9"/>
  <c r="CN96" i="9"/>
  <c r="CI96" i="9"/>
  <c r="CK96" i="9" s="1"/>
  <c r="CL96" i="9"/>
  <c r="CM96" i="9" s="1"/>
  <c r="CK113" i="9"/>
  <c r="CK95" i="9"/>
  <c r="CN109" i="9"/>
  <c r="CI91" i="9"/>
  <c r="CK91" i="9" s="1"/>
  <c r="CH91" i="9"/>
  <c r="CL91" i="9"/>
  <c r="CM91" i="9" s="1"/>
  <c r="CK87" i="9"/>
  <c r="CN91" i="9"/>
  <c r="CI98" i="9"/>
  <c r="CK98" i="9" s="1"/>
  <c r="CH98" i="9"/>
  <c r="CL98" i="9"/>
  <c r="CM98" i="9" s="1"/>
  <c r="CH106" i="9"/>
  <c r="CI106" i="9"/>
  <c r="CK106" i="9" s="1"/>
  <c r="CL106" i="9"/>
  <c r="CM106" i="9" s="1"/>
  <c r="CL93" i="9"/>
  <c r="CM93" i="9" s="1"/>
  <c r="CI93" i="9"/>
  <c r="CK93" i="9" s="1"/>
  <c r="CH93" i="9"/>
  <c r="CN93" i="9"/>
  <c r="CH97" i="9"/>
  <c r="CI97" i="9"/>
  <c r="CK97" i="9" s="1"/>
  <c r="CL97" i="9"/>
  <c r="CM97" i="9" s="1"/>
  <c r="CH84" i="9"/>
  <c r="CL84" i="9"/>
  <c r="CM84" i="9" s="1"/>
  <c r="CI84" i="9"/>
  <c r="CK84" i="9" s="1"/>
  <c r="CI88" i="9"/>
  <c r="CK88" i="9" s="1"/>
  <c r="CL88" i="9"/>
  <c r="CM88" i="9" s="1"/>
  <c r="CN97" i="9"/>
  <c r="CL104" i="9"/>
  <c r="CM104" i="9" s="1"/>
  <c r="CH104" i="9"/>
  <c r="CI104" i="9"/>
  <c r="CK104" i="9" s="1"/>
  <c r="CH105" i="9"/>
  <c r="CL105" i="9"/>
  <c r="CM105" i="9" s="1"/>
  <c r="CI105" i="9"/>
  <c r="CK105" i="9" s="1"/>
  <c r="CN88" i="9"/>
  <c r="CN104" i="9"/>
  <c r="CH89" i="9"/>
  <c r="CI89" i="9"/>
  <c r="CK89" i="9" s="1"/>
  <c r="CL89" i="9"/>
  <c r="CM89" i="9" s="1"/>
  <c r="CI90" i="9"/>
  <c r="CK90" i="9" s="1"/>
  <c r="CH90" i="9"/>
  <c r="CL90" i="9"/>
  <c r="CM90" i="9" s="1"/>
  <c r="CN84" i="9"/>
  <c r="CC39" i="9"/>
  <c r="CE39" i="9" s="1"/>
  <c r="CB39" i="9"/>
  <c r="X21" i="10"/>
  <c r="AC22" i="10"/>
  <c r="AA22" i="10"/>
  <c r="AB22" i="10"/>
  <c r="Z22" i="10"/>
  <c r="Y22" i="10"/>
  <c r="X23" i="10"/>
  <c r="Y23" i="10"/>
  <c r="AC25" i="10"/>
  <c r="Y25" i="10"/>
  <c r="X25" i="10" l="1"/>
  <c r="AB24" i="10"/>
  <c r="AC23" i="10"/>
  <c r="AA24" i="10"/>
  <c r="Y24" i="10"/>
  <c r="AC21" i="10"/>
  <c r="AD24" i="10"/>
  <c r="AC24" i="10"/>
  <c r="AA26" i="10"/>
  <c r="AD25" i="10"/>
  <c r="AA21" i="10"/>
  <c r="Z23" i="10"/>
  <c r="Z25" i="10"/>
  <c r="AB25" i="10"/>
  <c r="AD23" i="10"/>
  <c r="Y21" i="10"/>
  <c r="Z21" i="10"/>
  <c r="Z24" i="10"/>
  <c r="X24" i="10"/>
  <c r="AB23" i="10"/>
  <c r="AD22" i="10"/>
  <c r="AA23" i="10"/>
  <c r="AB21" i="10"/>
  <c r="AD21" i="10"/>
  <c r="AA25" i="10"/>
  <c r="X26" i="10" l="1"/>
  <c r="AC26" i="10"/>
  <c r="Y26" i="10"/>
  <c r="AB26" i="10"/>
  <c r="Z26" i="10"/>
  <c r="AD26" i="10"/>
</calcChain>
</file>

<file path=xl/sharedStrings.xml><?xml version="1.0" encoding="utf-8"?>
<sst xmlns="http://schemas.openxmlformats.org/spreadsheetml/2006/main" count="2046" uniqueCount="663">
  <si>
    <t>박재현</t>
    <phoneticPr fontId="2" type="noConversion"/>
  </si>
  <si>
    <t>김진광</t>
    <phoneticPr fontId="2" type="noConversion"/>
  </si>
  <si>
    <t>김진우</t>
    <phoneticPr fontId="2" type="noConversion"/>
  </si>
  <si>
    <t>오승렬</t>
    <phoneticPr fontId="2" type="noConversion"/>
  </si>
  <si>
    <t>P</t>
    <phoneticPr fontId="2" type="noConversion"/>
  </si>
  <si>
    <t>주문철</t>
    <phoneticPr fontId="2" type="noConversion"/>
  </si>
  <si>
    <t>2B</t>
    <phoneticPr fontId="2" type="noConversion"/>
  </si>
  <si>
    <t>RF</t>
    <phoneticPr fontId="2" type="noConversion"/>
  </si>
  <si>
    <t>정원석</t>
    <phoneticPr fontId="2" type="noConversion"/>
  </si>
  <si>
    <t>CF</t>
    <phoneticPr fontId="2" type="noConversion"/>
  </si>
  <si>
    <t>김안수</t>
    <phoneticPr fontId="2" type="noConversion"/>
  </si>
  <si>
    <t>이름</t>
    <phoneticPr fontId="2" type="noConversion"/>
  </si>
  <si>
    <t>등번호</t>
    <phoneticPr fontId="2" type="noConversion"/>
  </si>
  <si>
    <t>포지션</t>
    <phoneticPr fontId="2" type="noConversion"/>
  </si>
  <si>
    <t>게임수</t>
    <phoneticPr fontId="2" type="noConversion"/>
  </si>
  <si>
    <t>타석</t>
    <phoneticPr fontId="2" type="noConversion"/>
  </si>
  <si>
    <t>타수</t>
    <phoneticPr fontId="2" type="noConversion"/>
  </si>
  <si>
    <t>총안타</t>
    <phoneticPr fontId="2" type="noConversion"/>
  </si>
  <si>
    <t>안타</t>
    <phoneticPr fontId="2" type="noConversion"/>
  </si>
  <si>
    <t>2루타</t>
    <phoneticPr fontId="2" type="noConversion"/>
  </si>
  <si>
    <t>3루타</t>
    <phoneticPr fontId="2" type="noConversion"/>
  </si>
  <si>
    <t>홈런</t>
    <phoneticPr fontId="2" type="noConversion"/>
  </si>
  <si>
    <t>루타</t>
    <phoneticPr fontId="2" type="noConversion"/>
  </si>
  <si>
    <t>타점</t>
    <phoneticPr fontId="2" type="noConversion"/>
  </si>
  <si>
    <t>득점</t>
    <phoneticPr fontId="2" type="noConversion"/>
  </si>
  <si>
    <t>도루</t>
    <phoneticPr fontId="2" type="noConversion"/>
  </si>
  <si>
    <t>도루실패</t>
    <phoneticPr fontId="2" type="noConversion"/>
  </si>
  <si>
    <t>희생타</t>
    <phoneticPr fontId="2" type="noConversion"/>
  </si>
  <si>
    <t>희생플라이</t>
    <phoneticPr fontId="2" type="noConversion"/>
  </si>
  <si>
    <t>볼넷</t>
    <phoneticPr fontId="2" type="noConversion"/>
  </si>
  <si>
    <t>사구</t>
    <phoneticPr fontId="2" type="noConversion"/>
  </si>
  <si>
    <t>삼진</t>
    <phoneticPr fontId="2" type="noConversion"/>
  </si>
  <si>
    <t>병살</t>
    <phoneticPr fontId="2" type="noConversion"/>
  </si>
  <si>
    <t>AVG</t>
    <phoneticPr fontId="2" type="noConversion"/>
  </si>
  <si>
    <t>출루율OBP</t>
    <phoneticPr fontId="2" type="noConversion"/>
  </si>
  <si>
    <t>장타율SLG</t>
    <phoneticPr fontId="2" type="noConversion"/>
  </si>
  <si>
    <t>OPS</t>
    <phoneticPr fontId="2" type="noConversion"/>
  </si>
  <si>
    <t>김은성</t>
    <phoneticPr fontId="2" type="noConversion"/>
  </si>
  <si>
    <t>RF</t>
    <phoneticPr fontId="2" type="noConversion"/>
  </si>
  <si>
    <t>김지훈</t>
    <phoneticPr fontId="2" type="noConversion"/>
  </si>
  <si>
    <t>C</t>
    <phoneticPr fontId="2" type="noConversion"/>
  </si>
  <si>
    <t>김진광</t>
    <phoneticPr fontId="2" type="noConversion"/>
  </si>
  <si>
    <t>CF</t>
    <phoneticPr fontId="2" type="noConversion"/>
  </si>
  <si>
    <t>김진우</t>
    <phoneticPr fontId="2" type="noConversion"/>
  </si>
  <si>
    <t>SS</t>
    <phoneticPr fontId="2" type="noConversion"/>
  </si>
  <si>
    <t>박인서</t>
    <phoneticPr fontId="2" type="noConversion"/>
  </si>
  <si>
    <t>3B</t>
    <phoneticPr fontId="2" type="noConversion"/>
  </si>
  <si>
    <t>서복현</t>
    <phoneticPr fontId="2" type="noConversion"/>
  </si>
  <si>
    <t>P</t>
    <phoneticPr fontId="2" type="noConversion"/>
  </si>
  <si>
    <t>서봉원</t>
    <phoneticPr fontId="2" type="noConversion"/>
  </si>
  <si>
    <t>LF</t>
    <phoneticPr fontId="2" type="noConversion"/>
  </si>
  <si>
    <t>3B</t>
    <phoneticPr fontId="2" type="noConversion"/>
  </si>
  <si>
    <t>오승렬</t>
    <phoneticPr fontId="2" type="noConversion"/>
  </si>
  <si>
    <t>유규열</t>
    <phoneticPr fontId="2" type="noConversion"/>
  </si>
  <si>
    <t>3B</t>
    <phoneticPr fontId="2" type="noConversion"/>
  </si>
  <si>
    <t>이근평</t>
    <phoneticPr fontId="2" type="noConversion"/>
  </si>
  <si>
    <t>2B</t>
    <phoneticPr fontId="2" type="noConversion"/>
  </si>
  <si>
    <t>이도성</t>
    <phoneticPr fontId="2" type="noConversion"/>
  </si>
  <si>
    <t>1B</t>
    <phoneticPr fontId="2" type="noConversion"/>
  </si>
  <si>
    <t>이도성</t>
    <phoneticPr fontId="2" type="noConversion"/>
  </si>
  <si>
    <t>이상엽</t>
    <phoneticPr fontId="2" type="noConversion"/>
  </si>
  <si>
    <t>이완근</t>
    <phoneticPr fontId="2" type="noConversion"/>
  </si>
  <si>
    <t>이완근</t>
    <phoneticPr fontId="2" type="noConversion"/>
  </si>
  <si>
    <t>이재성</t>
    <phoneticPr fontId="2" type="noConversion"/>
  </si>
  <si>
    <t>OF</t>
    <phoneticPr fontId="2" type="noConversion"/>
  </si>
  <si>
    <t>이재성</t>
    <phoneticPr fontId="2" type="noConversion"/>
  </si>
  <si>
    <t>이종원</t>
    <phoneticPr fontId="2" type="noConversion"/>
  </si>
  <si>
    <t>이종원</t>
    <phoneticPr fontId="2" type="noConversion"/>
  </si>
  <si>
    <t>이학진</t>
    <phoneticPr fontId="2" type="noConversion"/>
  </si>
  <si>
    <t>임인수</t>
    <phoneticPr fontId="2" type="noConversion"/>
  </si>
  <si>
    <t>전영희</t>
    <phoneticPr fontId="2" type="noConversion"/>
  </si>
  <si>
    <t>전영희</t>
    <phoneticPr fontId="2" type="noConversion"/>
  </si>
  <si>
    <t>최대환</t>
    <phoneticPr fontId="2" type="noConversion"/>
  </si>
  <si>
    <t>김성민</t>
    <phoneticPr fontId="2" type="noConversion"/>
  </si>
  <si>
    <t>합</t>
    <phoneticPr fontId="2" type="noConversion"/>
  </si>
  <si>
    <t>2022년 전+후반기</t>
    <phoneticPr fontId="2" type="noConversion"/>
  </si>
  <si>
    <t>이름</t>
    <phoneticPr fontId="2" type="noConversion"/>
  </si>
  <si>
    <t>등번호</t>
    <phoneticPr fontId="2" type="noConversion"/>
  </si>
  <si>
    <t>게임수</t>
    <phoneticPr fontId="2" type="noConversion"/>
  </si>
  <si>
    <t>타석</t>
    <phoneticPr fontId="2" type="noConversion"/>
  </si>
  <si>
    <t>타수</t>
    <phoneticPr fontId="2" type="noConversion"/>
  </si>
  <si>
    <t>총안타</t>
    <phoneticPr fontId="2" type="noConversion"/>
  </si>
  <si>
    <t>안타</t>
    <phoneticPr fontId="2" type="noConversion"/>
  </si>
  <si>
    <t>2루타</t>
    <phoneticPr fontId="2" type="noConversion"/>
  </si>
  <si>
    <t>3루타</t>
    <phoneticPr fontId="2" type="noConversion"/>
  </si>
  <si>
    <t>홈런</t>
    <phoneticPr fontId="2" type="noConversion"/>
  </si>
  <si>
    <t>루타</t>
    <phoneticPr fontId="2" type="noConversion"/>
  </si>
  <si>
    <t>타점</t>
    <phoneticPr fontId="2" type="noConversion"/>
  </si>
  <si>
    <t>득점</t>
    <phoneticPr fontId="2" type="noConversion"/>
  </si>
  <si>
    <t>도루</t>
    <phoneticPr fontId="2" type="noConversion"/>
  </si>
  <si>
    <t>도루실패</t>
    <phoneticPr fontId="2" type="noConversion"/>
  </si>
  <si>
    <t>희생타</t>
    <phoneticPr fontId="2" type="noConversion"/>
  </si>
  <si>
    <t>희생플라이</t>
    <phoneticPr fontId="2" type="noConversion"/>
  </si>
  <si>
    <t>볼넷</t>
    <phoneticPr fontId="2" type="noConversion"/>
  </si>
  <si>
    <t>사구</t>
    <phoneticPr fontId="2" type="noConversion"/>
  </si>
  <si>
    <t>삼진</t>
    <phoneticPr fontId="2" type="noConversion"/>
  </si>
  <si>
    <t>병살</t>
    <phoneticPr fontId="2" type="noConversion"/>
  </si>
  <si>
    <t>AVG</t>
    <phoneticPr fontId="2" type="noConversion"/>
  </si>
  <si>
    <t>출루율OBP</t>
    <phoneticPr fontId="2" type="noConversion"/>
  </si>
  <si>
    <t>장타율SLG</t>
    <phoneticPr fontId="2" type="noConversion"/>
  </si>
  <si>
    <t>OPS</t>
    <phoneticPr fontId="2" type="noConversion"/>
  </si>
  <si>
    <t>김대호</t>
    <phoneticPr fontId="2" type="noConversion"/>
  </si>
  <si>
    <t>김성민</t>
    <phoneticPr fontId="2" type="noConversion"/>
  </si>
  <si>
    <t>김안수</t>
    <phoneticPr fontId="2" type="noConversion"/>
  </si>
  <si>
    <t>김지훈</t>
    <phoneticPr fontId="2" type="noConversion"/>
  </si>
  <si>
    <t>김진광</t>
    <phoneticPr fontId="2" type="noConversion"/>
  </si>
  <si>
    <t>김진우</t>
    <phoneticPr fontId="2" type="noConversion"/>
  </si>
  <si>
    <t>박인서</t>
    <phoneticPr fontId="2" type="noConversion"/>
  </si>
  <si>
    <t>박재현</t>
    <phoneticPr fontId="2" type="noConversion"/>
  </si>
  <si>
    <t>유규열</t>
    <phoneticPr fontId="2" type="noConversion"/>
  </si>
  <si>
    <t>이도성</t>
    <phoneticPr fontId="2" type="noConversion"/>
  </si>
  <si>
    <t>이승환</t>
    <phoneticPr fontId="2" type="noConversion"/>
  </si>
  <si>
    <t>이재성</t>
    <phoneticPr fontId="2" type="noConversion"/>
  </si>
  <si>
    <t>이종원</t>
    <phoneticPr fontId="2" type="noConversion"/>
  </si>
  <si>
    <t>이학진</t>
    <phoneticPr fontId="2" type="noConversion"/>
  </si>
  <si>
    <t>합</t>
    <phoneticPr fontId="2" type="noConversion"/>
  </si>
  <si>
    <t>2023년 전+후반기</t>
    <phoneticPr fontId="2" type="noConversion"/>
  </si>
  <si>
    <t>김대호</t>
    <phoneticPr fontId="2" type="noConversion"/>
  </si>
  <si>
    <t>RC</t>
    <phoneticPr fontId="2" type="noConversion"/>
  </si>
  <si>
    <t>XR</t>
    <phoneticPr fontId="2" type="noConversion"/>
  </si>
  <si>
    <t>득점에 어느정도 기여하는지 나타내는 수치</t>
    <phoneticPr fontId="2" type="noConversion"/>
  </si>
  <si>
    <t>추정 득점</t>
    <phoneticPr fontId="2" type="noConversion"/>
  </si>
  <si>
    <t>합계</t>
    <phoneticPr fontId="2" type="noConversion"/>
  </si>
  <si>
    <t>사사구</t>
    <phoneticPr fontId="2" type="noConversion"/>
  </si>
  <si>
    <t>은퇴</t>
    <phoneticPr fontId="2" type="noConversion"/>
  </si>
  <si>
    <t>이름</t>
    <phoneticPr fontId="2" type="noConversion"/>
  </si>
  <si>
    <t>등번호</t>
    <phoneticPr fontId="2" type="noConversion"/>
  </si>
  <si>
    <t>출장</t>
    <phoneticPr fontId="2" type="noConversion"/>
  </si>
  <si>
    <t>선발</t>
    <phoneticPr fontId="2" type="noConversion"/>
  </si>
  <si>
    <t>구원</t>
    <phoneticPr fontId="2" type="noConversion"/>
  </si>
  <si>
    <t>승</t>
    <phoneticPr fontId="2" type="noConversion"/>
  </si>
  <si>
    <t>패</t>
    <phoneticPr fontId="2" type="noConversion"/>
  </si>
  <si>
    <t>세</t>
    <phoneticPr fontId="2" type="noConversion"/>
  </si>
  <si>
    <t>이닝</t>
    <phoneticPr fontId="2" type="noConversion"/>
  </si>
  <si>
    <t>타자</t>
    <phoneticPr fontId="2" type="noConversion"/>
  </si>
  <si>
    <t>타수</t>
    <phoneticPr fontId="2" type="noConversion"/>
  </si>
  <si>
    <t>피안타</t>
    <phoneticPr fontId="2" type="noConversion"/>
  </si>
  <si>
    <t>희생타</t>
    <phoneticPr fontId="2" type="noConversion"/>
  </si>
  <si>
    <t>볼넷</t>
    <phoneticPr fontId="2" type="noConversion"/>
  </si>
  <si>
    <t>사구</t>
    <phoneticPr fontId="2" type="noConversion"/>
  </si>
  <si>
    <t>ERA</t>
    <phoneticPr fontId="2" type="noConversion"/>
  </si>
  <si>
    <t>BB/7</t>
    <phoneticPr fontId="2" type="noConversion"/>
  </si>
  <si>
    <t>K/7</t>
    <phoneticPr fontId="2" type="noConversion"/>
  </si>
  <si>
    <t>WHIP</t>
    <phoneticPr fontId="2" type="noConversion"/>
  </si>
  <si>
    <t>피안타율</t>
    <phoneticPr fontId="2" type="noConversion"/>
  </si>
  <si>
    <t>구원</t>
    <phoneticPr fontId="2" type="noConversion"/>
  </si>
  <si>
    <t>홀드</t>
    <phoneticPr fontId="2" type="noConversion"/>
  </si>
  <si>
    <t>이닝</t>
    <phoneticPr fontId="2" type="noConversion"/>
  </si>
  <si>
    <t>피홈런</t>
    <phoneticPr fontId="2" type="noConversion"/>
  </si>
  <si>
    <t>희생플라이</t>
    <phoneticPr fontId="2" type="noConversion"/>
  </si>
  <si>
    <t>사구</t>
    <phoneticPr fontId="2" type="noConversion"/>
  </si>
  <si>
    <t>삼진</t>
    <phoneticPr fontId="2" type="noConversion"/>
  </si>
  <si>
    <t>폭투</t>
    <phoneticPr fontId="2" type="noConversion"/>
  </si>
  <si>
    <t>보크</t>
    <phoneticPr fontId="2" type="noConversion"/>
  </si>
  <si>
    <t>실점</t>
    <phoneticPr fontId="2" type="noConversion"/>
  </si>
  <si>
    <t>자책점</t>
    <phoneticPr fontId="2" type="noConversion"/>
  </si>
  <si>
    <t>승률</t>
    <phoneticPr fontId="2" type="noConversion"/>
  </si>
  <si>
    <t>피안타율</t>
    <phoneticPr fontId="2" type="noConversion"/>
  </si>
  <si>
    <t>이완근</t>
    <phoneticPr fontId="2" type="noConversion"/>
  </si>
  <si>
    <t>임인수</t>
    <phoneticPr fontId="2" type="noConversion"/>
  </si>
  <si>
    <t>최효일</t>
    <phoneticPr fontId="2" type="noConversion"/>
  </si>
  <si>
    <t>2022년 전반기 + 후반기</t>
    <phoneticPr fontId="2" type="noConversion"/>
  </si>
  <si>
    <t>자책</t>
    <phoneticPr fontId="2" type="noConversion"/>
  </si>
  <si>
    <t>K/6</t>
    <phoneticPr fontId="2" type="noConversion"/>
  </si>
  <si>
    <t>세</t>
    <phoneticPr fontId="2" type="noConversion"/>
  </si>
  <si>
    <t>BB/6</t>
    <phoneticPr fontId="2" type="noConversion"/>
  </si>
  <si>
    <t>WHIP</t>
    <phoneticPr fontId="2" type="noConversion"/>
  </si>
  <si>
    <t>2023년 전반기 + 후반기</t>
    <phoneticPr fontId="2" type="noConversion"/>
  </si>
  <si>
    <t>김진광</t>
    <phoneticPr fontId="2" type="noConversion"/>
  </si>
  <si>
    <t>RA7</t>
    <phoneticPr fontId="2" type="noConversion"/>
  </si>
  <si>
    <t>이학진</t>
    <phoneticPr fontId="2" type="noConversion"/>
  </si>
  <si>
    <t>오승렬</t>
    <phoneticPr fontId="2" type="noConversion"/>
  </si>
  <si>
    <t>임인수</t>
    <phoneticPr fontId="2" type="noConversion"/>
  </si>
  <si>
    <t>이완근</t>
    <phoneticPr fontId="2" type="noConversion"/>
  </si>
  <si>
    <t>김진광</t>
    <phoneticPr fontId="2" type="noConversion"/>
  </si>
  <si>
    <t>최효일</t>
    <phoneticPr fontId="2" type="noConversion"/>
  </si>
  <si>
    <t>이학진</t>
    <phoneticPr fontId="2" type="noConversion"/>
  </si>
  <si>
    <t>오승렬</t>
    <phoneticPr fontId="2" type="noConversion"/>
  </si>
  <si>
    <t>임인수</t>
    <phoneticPr fontId="2" type="noConversion"/>
  </si>
  <si>
    <t>이완근</t>
    <phoneticPr fontId="2" type="noConversion"/>
  </si>
  <si>
    <t>김진광</t>
    <phoneticPr fontId="2" type="noConversion"/>
  </si>
  <si>
    <t>최효일</t>
    <phoneticPr fontId="2" type="noConversion"/>
  </si>
  <si>
    <t>이학진</t>
    <phoneticPr fontId="2" type="noConversion"/>
  </si>
  <si>
    <t>오승렬</t>
    <phoneticPr fontId="2" type="noConversion"/>
  </si>
  <si>
    <t>임인수</t>
    <phoneticPr fontId="2" type="noConversion"/>
  </si>
  <si>
    <t>김진광</t>
    <phoneticPr fontId="2" type="noConversion"/>
  </si>
  <si>
    <t>이완근</t>
    <phoneticPr fontId="2" type="noConversion"/>
  </si>
  <si>
    <t>최효일</t>
    <phoneticPr fontId="2" type="noConversion"/>
  </si>
  <si>
    <t>임인수</t>
    <phoneticPr fontId="2" type="noConversion"/>
  </si>
  <si>
    <t>최효일</t>
    <phoneticPr fontId="2" type="noConversion"/>
  </si>
  <si>
    <t>김진광</t>
    <phoneticPr fontId="2" type="noConversion"/>
  </si>
  <si>
    <t>이학진</t>
    <phoneticPr fontId="2" type="noConversion"/>
  </si>
  <si>
    <t>김진광</t>
    <phoneticPr fontId="2" type="noConversion"/>
  </si>
  <si>
    <t>최효일</t>
    <phoneticPr fontId="2" type="noConversion"/>
  </si>
  <si>
    <t>이학진</t>
    <phoneticPr fontId="2" type="noConversion"/>
  </si>
  <si>
    <t>오승렬</t>
    <phoneticPr fontId="2" type="noConversion"/>
  </si>
  <si>
    <t>이완근</t>
    <phoneticPr fontId="2" type="noConversion"/>
  </si>
  <si>
    <t>임인수</t>
    <phoneticPr fontId="2" type="noConversion"/>
  </si>
  <si>
    <t>최효일</t>
    <phoneticPr fontId="2" type="noConversion"/>
  </si>
  <si>
    <t>이헉진</t>
    <phoneticPr fontId="2" type="noConversion"/>
  </si>
  <si>
    <t>오승렬</t>
    <phoneticPr fontId="2" type="noConversion"/>
  </si>
  <si>
    <t>임인수</t>
    <phoneticPr fontId="2" type="noConversion"/>
  </si>
  <si>
    <t>최효일</t>
    <phoneticPr fontId="2" type="noConversion"/>
  </si>
  <si>
    <t>김진광</t>
    <phoneticPr fontId="2" type="noConversion"/>
  </si>
  <si>
    <t>오승렬</t>
    <phoneticPr fontId="2" type="noConversion"/>
  </si>
  <si>
    <t>임인수</t>
    <phoneticPr fontId="2" type="noConversion"/>
  </si>
  <si>
    <t>최효일</t>
    <phoneticPr fontId="2" type="noConversion"/>
  </si>
  <si>
    <t>김진광</t>
    <phoneticPr fontId="2" type="noConversion"/>
  </si>
  <si>
    <t>이학진</t>
    <phoneticPr fontId="2" type="noConversion"/>
  </si>
  <si>
    <t>이완근</t>
    <phoneticPr fontId="2" type="noConversion"/>
  </si>
  <si>
    <t>오승렬</t>
    <phoneticPr fontId="2" type="noConversion"/>
  </si>
  <si>
    <t>임인수</t>
    <phoneticPr fontId="2" type="noConversion"/>
  </si>
  <si>
    <t>최효일</t>
    <phoneticPr fontId="2" type="noConversion"/>
  </si>
  <si>
    <t>이학진</t>
    <phoneticPr fontId="2" type="noConversion"/>
  </si>
  <si>
    <t>이완근</t>
    <phoneticPr fontId="2" type="noConversion"/>
  </si>
  <si>
    <t>사사구</t>
    <phoneticPr fontId="2" type="noConversion"/>
  </si>
  <si>
    <t>오승렬</t>
    <phoneticPr fontId="2" type="noConversion"/>
  </si>
  <si>
    <t>이완근</t>
    <phoneticPr fontId="2" type="noConversion"/>
  </si>
  <si>
    <t>김진광</t>
    <phoneticPr fontId="2" type="noConversion"/>
  </si>
  <si>
    <t>최효일</t>
    <phoneticPr fontId="2" type="noConversion"/>
  </si>
  <si>
    <t>오승렬</t>
    <phoneticPr fontId="2" type="noConversion"/>
  </si>
  <si>
    <t>임인수</t>
    <phoneticPr fontId="2" type="noConversion"/>
  </si>
  <si>
    <t>이학진</t>
    <phoneticPr fontId="2" type="noConversion"/>
  </si>
  <si>
    <t>오승렬</t>
    <phoneticPr fontId="2" type="noConversion"/>
  </si>
  <si>
    <t>최효일</t>
    <phoneticPr fontId="2" type="noConversion"/>
  </si>
  <si>
    <t>김진광</t>
    <phoneticPr fontId="2" type="noConversion"/>
  </si>
  <si>
    <t>오승렬</t>
    <phoneticPr fontId="2" type="noConversion"/>
  </si>
  <si>
    <t>최효일</t>
    <phoneticPr fontId="2" type="noConversion"/>
  </si>
  <si>
    <t>이학진</t>
    <phoneticPr fontId="2" type="noConversion"/>
  </si>
  <si>
    <t>오승렬</t>
    <phoneticPr fontId="2" type="noConversion"/>
  </si>
  <si>
    <t>이완근</t>
    <phoneticPr fontId="2" type="noConversion"/>
  </si>
  <si>
    <t>임인수</t>
    <phoneticPr fontId="2" type="noConversion"/>
  </si>
  <si>
    <t>최효일</t>
    <phoneticPr fontId="2" type="noConversion"/>
  </si>
  <si>
    <t>이완근</t>
    <phoneticPr fontId="2" type="noConversion"/>
  </si>
  <si>
    <t>오승렬</t>
    <phoneticPr fontId="2" type="noConversion"/>
  </si>
  <si>
    <t>임인수</t>
    <phoneticPr fontId="2" type="noConversion"/>
  </si>
  <si>
    <t>임인수</t>
    <phoneticPr fontId="2" type="noConversion"/>
  </si>
  <si>
    <t>김진광</t>
    <phoneticPr fontId="2" type="noConversion"/>
  </si>
  <si>
    <t>김진광</t>
    <phoneticPr fontId="2" type="noConversion"/>
  </si>
  <si>
    <t>오승렬</t>
    <phoneticPr fontId="2" type="noConversion"/>
  </si>
  <si>
    <t>이완근</t>
    <phoneticPr fontId="2" type="noConversion"/>
  </si>
  <si>
    <t>임인수</t>
    <phoneticPr fontId="2" type="noConversion"/>
  </si>
  <si>
    <t>최효일</t>
    <phoneticPr fontId="2" type="noConversion"/>
  </si>
  <si>
    <t>임인수</t>
    <phoneticPr fontId="2" type="noConversion"/>
  </si>
  <si>
    <t>이완근</t>
    <phoneticPr fontId="2" type="noConversion"/>
  </si>
  <si>
    <t>이학진</t>
    <phoneticPr fontId="2" type="noConversion"/>
  </si>
  <si>
    <t>오승렬</t>
    <phoneticPr fontId="2" type="noConversion"/>
  </si>
  <si>
    <t>김진광</t>
    <phoneticPr fontId="2" type="noConversion"/>
  </si>
  <si>
    <t>이학진</t>
    <phoneticPr fontId="2" type="noConversion"/>
  </si>
  <si>
    <t>최효일</t>
    <phoneticPr fontId="2" type="noConversion"/>
  </si>
  <si>
    <t>오승렬</t>
    <phoneticPr fontId="2" type="noConversion"/>
  </si>
  <si>
    <t>이학진</t>
    <phoneticPr fontId="2" type="noConversion"/>
  </si>
  <si>
    <t>R</t>
    <phoneticPr fontId="2" type="noConversion"/>
  </si>
  <si>
    <t>R</t>
    <phoneticPr fontId="2" type="noConversion"/>
  </si>
  <si>
    <t>이재성</t>
    <phoneticPr fontId="2" type="noConversion"/>
  </si>
  <si>
    <t>이학진</t>
    <phoneticPr fontId="2" type="noConversion"/>
  </si>
  <si>
    <t>이름</t>
    <phoneticPr fontId="2" type="noConversion"/>
  </si>
  <si>
    <t>등번호</t>
    <phoneticPr fontId="2" type="noConversion"/>
  </si>
  <si>
    <t>게임수</t>
    <phoneticPr fontId="2" type="noConversion"/>
  </si>
  <si>
    <t>총안타</t>
    <phoneticPr fontId="2" type="noConversion"/>
  </si>
  <si>
    <t>2루타</t>
    <phoneticPr fontId="2" type="noConversion"/>
  </si>
  <si>
    <t>3루타</t>
    <phoneticPr fontId="2" type="noConversion"/>
  </si>
  <si>
    <t>홈런</t>
    <phoneticPr fontId="2" type="noConversion"/>
  </si>
  <si>
    <t>타점</t>
    <phoneticPr fontId="2" type="noConversion"/>
  </si>
  <si>
    <t>득점</t>
    <phoneticPr fontId="2" type="noConversion"/>
  </si>
  <si>
    <t>도루</t>
    <phoneticPr fontId="2" type="noConversion"/>
  </si>
  <si>
    <t>도루실패</t>
    <phoneticPr fontId="2" type="noConversion"/>
  </si>
  <si>
    <t>볼넷</t>
    <phoneticPr fontId="2" type="noConversion"/>
  </si>
  <si>
    <t>사구</t>
    <phoneticPr fontId="2" type="noConversion"/>
  </si>
  <si>
    <t>삼진</t>
    <phoneticPr fontId="2" type="noConversion"/>
  </si>
  <si>
    <t>병살</t>
    <phoneticPr fontId="2" type="noConversion"/>
  </si>
  <si>
    <t>AVG</t>
    <phoneticPr fontId="2" type="noConversion"/>
  </si>
  <si>
    <t>출루율OBP</t>
    <phoneticPr fontId="2" type="noConversion"/>
  </si>
  <si>
    <t>장타율SLG</t>
    <phoneticPr fontId="2" type="noConversion"/>
  </si>
  <si>
    <t>OPS</t>
    <phoneticPr fontId="2" type="noConversion"/>
  </si>
  <si>
    <t>김성민</t>
    <phoneticPr fontId="2" type="noConversion"/>
  </si>
  <si>
    <t>L</t>
    <phoneticPr fontId="2" type="noConversion"/>
  </si>
  <si>
    <t>김지훈</t>
    <phoneticPr fontId="2" type="noConversion"/>
  </si>
  <si>
    <t>R</t>
    <phoneticPr fontId="2" type="noConversion"/>
  </si>
  <si>
    <t>김진광</t>
    <phoneticPr fontId="2" type="noConversion"/>
  </si>
  <si>
    <t>박재현</t>
    <phoneticPr fontId="2" type="noConversion"/>
  </si>
  <si>
    <t>오승렬</t>
    <phoneticPr fontId="2" type="noConversion"/>
  </si>
  <si>
    <t>유규열</t>
    <phoneticPr fontId="2" type="noConversion"/>
  </si>
  <si>
    <t>이근평</t>
    <phoneticPr fontId="2" type="noConversion"/>
  </si>
  <si>
    <t>이종원</t>
    <phoneticPr fontId="2" type="noConversion"/>
  </si>
  <si>
    <t>합</t>
    <phoneticPr fontId="2" type="noConversion"/>
  </si>
  <si>
    <t>RC/18</t>
    <phoneticPr fontId="2" type="noConversion"/>
  </si>
  <si>
    <t>경기수</t>
    <phoneticPr fontId="2" type="noConversion"/>
  </si>
  <si>
    <t>한재혁</t>
    <phoneticPr fontId="2" type="noConversion"/>
  </si>
  <si>
    <t>L</t>
    <phoneticPr fontId="2" type="noConversion"/>
  </si>
  <si>
    <t>한재혁</t>
    <phoneticPr fontId="2" type="noConversion"/>
  </si>
  <si>
    <t>김대호</t>
    <phoneticPr fontId="2" type="noConversion"/>
  </si>
  <si>
    <t>R</t>
    <phoneticPr fontId="2" type="noConversion"/>
  </si>
  <si>
    <t>최대환</t>
    <phoneticPr fontId="2" type="noConversion"/>
  </si>
  <si>
    <t>L</t>
    <phoneticPr fontId="2" type="noConversion"/>
  </si>
  <si>
    <t>박민혁</t>
    <phoneticPr fontId="2" type="noConversion"/>
  </si>
  <si>
    <t>R</t>
    <phoneticPr fontId="2" type="noConversion"/>
  </si>
  <si>
    <t>박민혁</t>
    <phoneticPr fontId="2" type="noConversion"/>
  </si>
  <si>
    <t>주문철</t>
    <phoneticPr fontId="2" type="noConversion"/>
  </si>
  <si>
    <t>전영희</t>
    <phoneticPr fontId="2" type="noConversion"/>
  </si>
  <si>
    <t>RC/18</t>
    <phoneticPr fontId="2" type="noConversion"/>
  </si>
  <si>
    <t>한 타자로 구성된 팀이 6이닝동안 뽑을수 있는 점수</t>
    <phoneticPr fontId="2" type="noConversion"/>
  </si>
  <si>
    <t>김대호</t>
    <phoneticPr fontId="2" type="noConversion"/>
  </si>
  <si>
    <t>이승환</t>
    <phoneticPr fontId="2" type="noConversion"/>
  </si>
  <si>
    <t>김예준</t>
    <phoneticPr fontId="2" type="noConversion"/>
  </si>
  <si>
    <t>R</t>
    <phoneticPr fontId="2" type="noConversion"/>
  </si>
  <si>
    <t>강준형</t>
    <phoneticPr fontId="2" type="noConversion"/>
  </si>
  <si>
    <t>정병건</t>
    <phoneticPr fontId="2" type="noConversion"/>
  </si>
  <si>
    <t>김예준</t>
    <phoneticPr fontId="2" type="noConversion"/>
  </si>
  <si>
    <t>김예준</t>
    <phoneticPr fontId="2" type="noConversion"/>
  </si>
  <si>
    <t>김민성</t>
    <phoneticPr fontId="2" type="noConversion"/>
  </si>
  <si>
    <t>김민성</t>
    <phoneticPr fontId="2" type="noConversion"/>
  </si>
  <si>
    <t>김민성</t>
    <phoneticPr fontId="2" type="noConversion"/>
  </si>
  <si>
    <t>서복현</t>
    <phoneticPr fontId="2" type="noConversion"/>
  </si>
  <si>
    <t>정원석</t>
    <phoneticPr fontId="2" type="noConversion"/>
  </si>
  <si>
    <t>박인서</t>
    <phoneticPr fontId="2" type="noConversion"/>
  </si>
  <si>
    <t>x2</t>
    <phoneticPr fontId="2" type="noConversion"/>
  </si>
  <si>
    <t>x1.5</t>
    <phoneticPr fontId="2" type="noConversion"/>
  </si>
  <si>
    <t>R</t>
    <phoneticPr fontId="2" type="noConversion"/>
  </si>
  <si>
    <t>규정타석</t>
    <phoneticPr fontId="2" type="noConversion"/>
  </si>
  <si>
    <t>김진우</t>
    <phoneticPr fontId="2" type="noConversion"/>
  </si>
  <si>
    <t>서봉원</t>
    <phoneticPr fontId="2" type="noConversion"/>
  </si>
  <si>
    <t>김은성</t>
    <phoneticPr fontId="2" type="noConversion"/>
  </si>
  <si>
    <t>김안수</t>
    <phoneticPr fontId="2" type="noConversion"/>
  </si>
  <si>
    <t>사사구</t>
    <phoneticPr fontId="2" type="noConversion"/>
  </si>
  <si>
    <t>R</t>
    <phoneticPr fontId="2" type="noConversion"/>
  </si>
  <si>
    <t>이도성</t>
    <phoneticPr fontId="2" type="noConversion"/>
  </si>
  <si>
    <t>사사구</t>
    <phoneticPr fontId="2" type="noConversion"/>
  </si>
  <si>
    <t>사사구</t>
    <phoneticPr fontId="2" type="noConversion"/>
  </si>
  <si>
    <t>사사구</t>
    <phoneticPr fontId="2" type="noConversion"/>
  </si>
  <si>
    <t>24명</t>
    <phoneticPr fontId="2" type="noConversion"/>
  </si>
  <si>
    <t>18명</t>
    <phoneticPr fontId="2" type="noConversion"/>
  </si>
  <si>
    <t>19명</t>
    <phoneticPr fontId="2" type="noConversion"/>
  </si>
  <si>
    <t>김예준</t>
    <phoneticPr fontId="2" type="noConversion"/>
  </si>
  <si>
    <t>박재현</t>
    <phoneticPr fontId="2" type="noConversion"/>
  </si>
  <si>
    <t>김예준</t>
    <phoneticPr fontId="2" type="noConversion"/>
  </si>
  <si>
    <t>박재현</t>
    <phoneticPr fontId="2" type="noConversion"/>
  </si>
  <si>
    <t>김예준</t>
    <phoneticPr fontId="2" type="noConversion"/>
  </si>
  <si>
    <t>박재현</t>
    <phoneticPr fontId="2" type="noConversion"/>
  </si>
  <si>
    <t>김예준</t>
    <phoneticPr fontId="2" type="noConversion"/>
  </si>
  <si>
    <t>박재현</t>
    <phoneticPr fontId="2" type="noConversion"/>
  </si>
  <si>
    <t>김예준</t>
    <phoneticPr fontId="2" type="noConversion"/>
  </si>
  <si>
    <t>김예준</t>
    <phoneticPr fontId="2" type="noConversion"/>
  </si>
  <si>
    <t>김진광</t>
    <phoneticPr fontId="2" type="noConversion"/>
  </si>
  <si>
    <t>박재현</t>
    <phoneticPr fontId="2" type="noConversion"/>
  </si>
  <si>
    <t>김예준</t>
    <phoneticPr fontId="2" type="noConversion"/>
  </si>
  <si>
    <t>김진광</t>
    <phoneticPr fontId="2" type="noConversion"/>
  </si>
  <si>
    <t>박재현</t>
    <phoneticPr fontId="2" type="noConversion"/>
  </si>
  <si>
    <t>박재현</t>
    <phoneticPr fontId="2" type="noConversion"/>
  </si>
  <si>
    <t>김예준</t>
    <phoneticPr fontId="2" type="noConversion"/>
  </si>
  <si>
    <t>박재현</t>
    <phoneticPr fontId="2" type="noConversion"/>
  </si>
  <si>
    <t>김진광</t>
    <phoneticPr fontId="2" type="noConversion"/>
  </si>
  <si>
    <t>김예준</t>
    <phoneticPr fontId="2" type="noConversion"/>
  </si>
  <si>
    <t>박재현</t>
    <phoneticPr fontId="2" type="noConversion"/>
  </si>
  <si>
    <t>사사구</t>
    <phoneticPr fontId="2" type="noConversion"/>
  </si>
  <si>
    <t>김예준</t>
    <phoneticPr fontId="2" type="noConversion"/>
  </si>
  <si>
    <t>김예준</t>
    <phoneticPr fontId="2" type="noConversion"/>
  </si>
  <si>
    <t>이학진</t>
    <phoneticPr fontId="2" type="noConversion"/>
  </si>
  <si>
    <t>박재현</t>
    <phoneticPr fontId="2" type="noConversion"/>
  </si>
  <si>
    <t>박재현</t>
    <phoneticPr fontId="2" type="noConversion"/>
  </si>
  <si>
    <t>박재현</t>
    <phoneticPr fontId="2" type="noConversion"/>
  </si>
  <si>
    <t>김예준</t>
    <phoneticPr fontId="2" type="noConversion"/>
  </si>
  <si>
    <t>김진광</t>
    <phoneticPr fontId="2" type="noConversion"/>
  </si>
  <si>
    <t>김진광</t>
    <phoneticPr fontId="2" type="noConversion"/>
  </si>
  <si>
    <t>박재현</t>
    <phoneticPr fontId="2" type="noConversion"/>
  </si>
  <si>
    <t>김예준</t>
    <phoneticPr fontId="2" type="noConversion"/>
  </si>
  <si>
    <t>김예준</t>
    <phoneticPr fontId="2" type="noConversion"/>
  </si>
  <si>
    <t>2022~2024</t>
    <phoneticPr fontId="2" type="noConversion"/>
  </si>
  <si>
    <t>박재현</t>
    <phoneticPr fontId="2" type="noConversion"/>
  </si>
  <si>
    <t>박재현</t>
    <phoneticPr fontId="2" type="noConversion"/>
  </si>
  <si>
    <t>2024 전+후반기</t>
    <phoneticPr fontId="2" type="noConversion"/>
  </si>
  <si>
    <t>2025 전+후반기</t>
    <phoneticPr fontId="2" type="noConversion"/>
  </si>
  <si>
    <t>2022~2025</t>
    <phoneticPr fontId="2" type="noConversion"/>
  </si>
  <si>
    <t>출장</t>
    <phoneticPr fontId="2" type="noConversion"/>
  </si>
  <si>
    <t>정해성</t>
    <phoneticPr fontId="2" type="noConversion"/>
  </si>
  <si>
    <t>R</t>
    <phoneticPr fontId="2" type="noConversion"/>
  </si>
  <si>
    <t>정해성</t>
    <phoneticPr fontId="2" type="noConversion"/>
  </si>
  <si>
    <t>정해성</t>
    <phoneticPr fontId="2" type="noConversion"/>
  </si>
  <si>
    <t>정해성</t>
    <phoneticPr fontId="2" type="noConversion"/>
  </si>
  <si>
    <t>규정타석미달</t>
    <phoneticPr fontId="2" type="noConversion"/>
  </si>
  <si>
    <t>박인서</t>
    <phoneticPr fontId="2" type="noConversion"/>
  </si>
  <si>
    <t>R</t>
    <phoneticPr fontId="2" type="noConversion"/>
  </si>
  <si>
    <t>순위</t>
    <phoneticPr fontId="2" type="noConversion"/>
  </si>
  <si>
    <t>타수</t>
    <phoneticPr fontId="2" type="noConversion"/>
  </si>
  <si>
    <t>총안타</t>
    <phoneticPr fontId="2" type="noConversion"/>
  </si>
  <si>
    <t>안타</t>
    <phoneticPr fontId="2" type="noConversion"/>
  </si>
  <si>
    <t>2루타</t>
    <phoneticPr fontId="2" type="noConversion"/>
  </si>
  <si>
    <t>3루타</t>
    <phoneticPr fontId="2" type="noConversion"/>
  </si>
  <si>
    <t>홈런</t>
    <phoneticPr fontId="2" type="noConversion"/>
  </si>
  <si>
    <t>루타</t>
    <phoneticPr fontId="2" type="noConversion"/>
  </si>
  <si>
    <t>타점</t>
    <phoneticPr fontId="2" type="noConversion"/>
  </si>
  <si>
    <t>득점</t>
    <phoneticPr fontId="2" type="noConversion"/>
  </si>
  <si>
    <t>도루</t>
    <phoneticPr fontId="2" type="noConversion"/>
  </si>
  <si>
    <t>도루실패</t>
    <phoneticPr fontId="2" type="noConversion"/>
  </si>
  <si>
    <t>희생타</t>
    <phoneticPr fontId="2" type="noConversion"/>
  </si>
  <si>
    <t>희생플라이</t>
    <phoneticPr fontId="2" type="noConversion"/>
  </si>
  <si>
    <t>볼넷</t>
    <phoneticPr fontId="2" type="noConversion"/>
  </si>
  <si>
    <t>사구</t>
    <phoneticPr fontId="2" type="noConversion"/>
  </si>
  <si>
    <t>삼진</t>
    <phoneticPr fontId="2" type="noConversion"/>
  </si>
  <si>
    <t>병살</t>
    <phoneticPr fontId="2" type="noConversion"/>
  </si>
  <si>
    <t>AVG</t>
    <phoneticPr fontId="2" type="noConversion"/>
  </si>
  <si>
    <t>출루율OBP</t>
    <phoneticPr fontId="2" type="noConversion"/>
  </si>
  <si>
    <t>장타율SLG</t>
    <phoneticPr fontId="2" type="noConversion"/>
  </si>
  <si>
    <t>OPS</t>
    <phoneticPr fontId="2" type="noConversion"/>
  </si>
  <si>
    <t>RC</t>
    <phoneticPr fontId="2" type="noConversion"/>
  </si>
  <si>
    <t>RC/18</t>
    <phoneticPr fontId="2" type="noConversion"/>
  </si>
  <si>
    <t>XR</t>
    <phoneticPr fontId="2" type="noConversion"/>
  </si>
  <si>
    <t>김진우</t>
    <phoneticPr fontId="2" type="noConversion"/>
  </si>
  <si>
    <t>김진광</t>
    <phoneticPr fontId="2" type="noConversion"/>
  </si>
  <si>
    <t>박재현</t>
    <phoneticPr fontId="2" type="noConversion"/>
  </si>
  <si>
    <t>김예준</t>
    <phoneticPr fontId="2" type="noConversion"/>
  </si>
  <si>
    <t>이종원</t>
    <phoneticPr fontId="2" type="noConversion"/>
  </si>
  <si>
    <t>김대호</t>
    <phoneticPr fontId="2" type="noConversion"/>
  </si>
  <si>
    <t>최대환</t>
    <phoneticPr fontId="2" type="noConversion"/>
  </si>
  <si>
    <t>이학진</t>
    <phoneticPr fontId="2" type="noConversion"/>
  </si>
  <si>
    <t>서복현</t>
    <phoneticPr fontId="2" type="noConversion"/>
  </si>
  <si>
    <t>김민성</t>
    <phoneticPr fontId="2" type="noConversion"/>
  </si>
  <si>
    <t>김진광</t>
    <phoneticPr fontId="2" type="noConversion"/>
  </si>
  <si>
    <t>김성민</t>
    <phoneticPr fontId="2" type="noConversion"/>
  </si>
  <si>
    <t>이도성</t>
    <phoneticPr fontId="2" type="noConversion"/>
  </si>
  <si>
    <t>김지훈</t>
    <phoneticPr fontId="2" type="noConversion"/>
  </si>
  <si>
    <t>김은성</t>
    <phoneticPr fontId="2" type="noConversion"/>
  </si>
  <si>
    <t>김안수</t>
    <phoneticPr fontId="2" type="noConversion"/>
  </si>
  <si>
    <t>유규열</t>
    <phoneticPr fontId="2" type="noConversion"/>
  </si>
  <si>
    <t>오승렬</t>
    <phoneticPr fontId="2" type="noConversion"/>
  </si>
  <si>
    <t>한재혁</t>
    <phoneticPr fontId="2" type="noConversion"/>
  </si>
  <si>
    <t>이완근</t>
    <phoneticPr fontId="2" type="noConversion"/>
  </si>
  <si>
    <t>김진우</t>
    <phoneticPr fontId="2" type="noConversion"/>
  </si>
  <si>
    <t>전영희</t>
    <phoneticPr fontId="2" type="noConversion"/>
  </si>
  <si>
    <t>이종원</t>
    <phoneticPr fontId="2" type="noConversion"/>
  </si>
  <si>
    <t>이재성</t>
    <phoneticPr fontId="2" type="noConversion"/>
  </si>
  <si>
    <t>주문철</t>
    <phoneticPr fontId="2" type="noConversion"/>
  </si>
  <si>
    <t>김지훈</t>
    <phoneticPr fontId="2" type="noConversion"/>
  </si>
  <si>
    <t>정원석</t>
    <phoneticPr fontId="2" type="noConversion"/>
  </si>
  <si>
    <t>오승렬</t>
    <phoneticPr fontId="2" type="noConversion"/>
  </si>
  <si>
    <t>박민혁</t>
    <phoneticPr fontId="2" type="noConversion"/>
  </si>
  <si>
    <t>서봉원</t>
    <phoneticPr fontId="2" type="noConversion"/>
  </si>
  <si>
    <t>임인수</t>
    <phoneticPr fontId="2" type="noConversion"/>
  </si>
  <si>
    <t>최대환</t>
    <phoneticPr fontId="2" type="noConversion"/>
  </si>
  <si>
    <t>이승환</t>
    <phoneticPr fontId="2" type="noConversion"/>
  </si>
  <si>
    <t>김성민</t>
    <phoneticPr fontId="2" type="noConversion"/>
  </si>
  <si>
    <t>박인서</t>
    <phoneticPr fontId="2" type="noConversion"/>
  </si>
  <si>
    <t>김예준</t>
    <phoneticPr fontId="2" type="noConversion"/>
  </si>
  <si>
    <t>이재성</t>
    <phoneticPr fontId="2" type="noConversion"/>
  </si>
  <si>
    <t>임인수</t>
    <phoneticPr fontId="2" type="noConversion"/>
  </si>
  <si>
    <t>한재혁</t>
    <phoneticPr fontId="2" type="noConversion"/>
  </si>
  <si>
    <t>이상엽</t>
    <phoneticPr fontId="2" type="noConversion"/>
  </si>
  <si>
    <t>서봉원</t>
    <phoneticPr fontId="2" type="noConversion"/>
  </si>
  <si>
    <t>이근평</t>
    <phoneticPr fontId="2" type="noConversion"/>
  </si>
  <si>
    <t>이도성</t>
    <phoneticPr fontId="2" type="noConversion"/>
  </si>
  <si>
    <t>주문철</t>
    <phoneticPr fontId="2" type="noConversion"/>
  </si>
  <si>
    <t>박민혁</t>
    <phoneticPr fontId="2" type="noConversion"/>
  </si>
  <si>
    <t>정해성</t>
    <phoneticPr fontId="2" type="noConversion"/>
  </si>
  <si>
    <t>김은성</t>
    <phoneticPr fontId="2" type="noConversion"/>
  </si>
  <si>
    <t>이근평</t>
    <phoneticPr fontId="2" type="noConversion"/>
  </si>
  <si>
    <t>김안수</t>
    <phoneticPr fontId="2" type="noConversion"/>
  </si>
  <si>
    <t>김안수</t>
    <phoneticPr fontId="2" type="noConversion"/>
  </si>
  <si>
    <t>이상엽</t>
    <phoneticPr fontId="2" type="noConversion"/>
  </si>
  <si>
    <t>정해성</t>
    <phoneticPr fontId="2" type="noConversion"/>
  </si>
  <si>
    <t>이근평</t>
    <phoneticPr fontId="2" type="noConversion"/>
  </si>
  <si>
    <t>이상엽</t>
    <phoneticPr fontId="2" type="noConversion"/>
  </si>
  <si>
    <t>정원석</t>
    <phoneticPr fontId="2" type="noConversion"/>
  </si>
  <si>
    <t>한재혁</t>
    <phoneticPr fontId="2" type="noConversion"/>
  </si>
  <si>
    <t>김진우</t>
    <phoneticPr fontId="2" type="noConversion"/>
  </si>
  <si>
    <t>김진광</t>
    <phoneticPr fontId="2" type="noConversion"/>
  </si>
  <si>
    <t>한재혁</t>
    <phoneticPr fontId="2" type="noConversion"/>
  </si>
  <si>
    <t>이승환</t>
    <phoneticPr fontId="2" type="noConversion"/>
  </si>
  <si>
    <t>팀 평균</t>
    <phoneticPr fontId="2" type="noConversion"/>
  </si>
  <si>
    <t>김성민</t>
    <phoneticPr fontId="2" type="noConversion"/>
  </si>
  <si>
    <t>유규열</t>
    <phoneticPr fontId="2" type="noConversion"/>
  </si>
  <si>
    <t>김예준</t>
    <phoneticPr fontId="2" type="noConversion"/>
  </si>
  <si>
    <t>정해성</t>
    <phoneticPr fontId="2" type="noConversion"/>
  </si>
  <si>
    <t>정해성</t>
    <phoneticPr fontId="2" type="noConversion"/>
  </si>
  <si>
    <t>이학진</t>
    <phoneticPr fontId="2" type="noConversion"/>
  </si>
  <si>
    <t>한재혁</t>
    <phoneticPr fontId="2" type="noConversion"/>
  </si>
  <si>
    <t>유규열</t>
    <phoneticPr fontId="2" type="noConversion"/>
  </si>
  <si>
    <t>이재성</t>
    <phoneticPr fontId="2" type="noConversion"/>
  </si>
  <si>
    <t>R</t>
    <phoneticPr fontId="2" type="noConversion"/>
  </si>
  <si>
    <t>이재성</t>
    <phoneticPr fontId="2" type="noConversion"/>
  </si>
  <si>
    <t>이완근</t>
    <phoneticPr fontId="2" type="noConversion"/>
  </si>
  <si>
    <t>최대환</t>
    <phoneticPr fontId="2" type="noConversion"/>
  </si>
  <si>
    <t>이학진</t>
    <phoneticPr fontId="2" type="noConversion"/>
  </si>
  <si>
    <t>서봉원</t>
    <phoneticPr fontId="2" type="noConversion"/>
  </si>
  <si>
    <t>김예준</t>
    <phoneticPr fontId="2" type="noConversion"/>
  </si>
  <si>
    <t>오승렬</t>
    <phoneticPr fontId="2" type="noConversion"/>
  </si>
  <si>
    <t>김진우</t>
    <phoneticPr fontId="2" type="noConversion"/>
  </si>
  <si>
    <t>김진광</t>
    <phoneticPr fontId="2" type="noConversion"/>
  </si>
  <si>
    <t>박재현</t>
    <phoneticPr fontId="2" type="noConversion"/>
  </si>
  <si>
    <t>이재성</t>
    <phoneticPr fontId="2" type="noConversion"/>
  </si>
  <si>
    <t>이학진</t>
    <phoneticPr fontId="2" type="noConversion"/>
  </si>
  <si>
    <t>오승렬</t>
    <phoneticPr fontId="2" type="noConversion"/>
  </si>
  <si>
    <t>유규열</t>
    <phoneticPr fontId="2" type="noConversion"/>
  </si>
  <si>
    <t>김성민</t>
    <phoneticPr fontId="2" type="noConversion"/>
  </si>
  <si>
    <t>이종원</t>
    <phoneticPr fontId="2" type="noConversion"/>
  </si>
  <si>
    <t>김민성</t>
    <phoneticPr fontId="2" type="noConversion"/>
  </si>
  <si>
    <t>한재혁</t>
    <phoneticPr fontId="2" type="noConversion"/>
  </si>
  <si>
    <t>박인서</t>
    <phoneticPr fontId="2" type="noConversion"/>
  </si>
  <si>
    <t>이재성</t>
    <phoneticPr fontId="2" type="noConversion"/>
  </si>
  <si>
    <t>최민우</t>
    <phoneticPr fontId="2" type="noConversion"/>
  </si>
  <si>
    <t>최민우</t>
    <phoneticPr fontId="2" type="noConversion"/>
  </si>
  <si>
    <t>R</t>
    <phoneticPr fontId="2" type="noConversion"/>
  </si>
  <si>
    <t>최민우</t>
    <phoneticPr fontId="2" type="noConversion"/>
  </si>
  <si>
    <t>최민우</t>
    <phoneticPr fontId="2" type="noConversion"/>
  </si>
  <si>
    <t>최민우</t>
    <phoneticPr fontId="2" type="noConversion"/>
  </si>
  <si>
    <t>최민우</t>
    <phoneticPr fontId="2" type="noConversion"/>
  </si>
  <si>
    <t>정해성</t>
    <phoneticPr fontId="2" type="noConversion"/>
  </si>
  <si>
    <t>서봉원</t>
    <phoneticPr fontId="2" type="noConversion"/>
  </si>
  <si>
    <t>최민우</t>
    <phoneticPr fontId="2" type="noConversion"/>
  </si>
  <si>
    <t>정해성</t>
    <phoneticPr fontId="2" type="noConversion"/>
  </si>
  <si>
    <t>김민성</t>
    <phoneticPr fontId="2" type="noConversion"/>
  </si>
  <si>
    <t>전영희</t>
    <phoneticPr fontId="2" type="noConversion"/>
  </si>
  <si>
    <t>김성민</t>
    <phoneticPr fontId="2" type="noConversion"/>
  </si>
  <si>
    <t>최대환</t>
    <phoneticPr fontId="2" type="noConversion"/>
  </si>
  <si>
    <t>최민우</t>
    <phoneticPr fontId="2" type="noConversion"/>
  </si>
  <si>
    <t>정해성</t>
    <phoneticPr fontId="2" type="noConversion"/>
  </si>
  <si>
    <t>최민우</t>
    <phoneticPr fontId="2" type="noConversion"/>
  </si>
  <si>
    <t>정원석</t>
    <phoneticPr fontId="2" type="noConversion"/>
  </si>
  <si>
    <t>박민혁</t>
    <phoneticPr fontId="2" type="noConversion"/>
  </si>
  <si>
    <t>전영희</t>
    <phoneticPr fontId="2" type="noConversion"/>
  </si>
  <si>
    <t>이도성</t>
    <phoneticPr fontId="2" type="noConversion"/>
  </si>
  <si>
    <t>박인서</t>
    <phoneticPr fontId="2" type="noConversion"/>
  </si>
  <si>
    <t>김민성</t>
    <phoneticPr fontId="2" type="noConversion"/>
  </si>
  <si>
    <t>이학진</t>
    <phoneticPr fontId="2" type="noConversion"/>
  </si>
  <si>
    <t>이종원</t>
    <phoneticPr fontId="2" type="noConversion"/>
  </si>
  <si>
    <t>김대호</t>
    <phoneticPr fontId="2" type="noConversion"/>
  </si>
  <si>
    <t>정해성</t>
    <phoneticPr fontId="2" type="noConversion"/>
  </si>
  <si>
    <t>정해성</t>
    <phoneticPr fontId="2" type="noConversion"/>
  </si>
  <si>
    <t>박인서</t>
    <phoneticPr fontId="2" type="noConversion"/>
  </si>
  <si>
    <t>정해성</t>
    <phoneticPr fontId="2" type="noConversion"/>
  </si>
  <si>
    <t>최민우</t>
    <phoneticPr fontId="2" type="noConversion"/>
  </si>
  <si>
    <t>서복현</t>
    <phoneticPr fontId="2" type="noConversion"/>
  </si>
  <si>
    <t>최민우</t>
    <phoneticPr fontId="2" type="noConversion"/>
  </si>
  <si>
    <t>서봉원</t>
    <phoneticPr fontId="2" type="noConversion"/>
  </si>
  <si>
    <t>최민우</t>
    <phoneticPr fontId="2" type="noConversion"/>
  </si>
  <si>
    <t>이재성</t>
    <phoneticPr fontId="2" type="noConversion"/>
  </si>
  <si>
    <t>최민우</t>
    <phoneticPr fontId="2" type="noConversion"/>
  </si>
  <si>
    <t>서봉원</t>
    <phoneticPr fontId="2" type="noConversion"/>
  </si>
  <si>
    <t>최민우</t>
    <phoneticPr fontId="2" type="noConversion"/>
  </si>
  <si>
    <t>이학진</t>
    <phoneticPr fontId="2" type="noConversion"/>
  </si>
  <si>
    <t>서봉원</t>
    <phoneticPr fontId="2" type="noConversion"/>
  </si>
  <si>
    <t>박민혁</t>
    <phoneticPr fontId="2" type="noConversion"/>
  </si>
  <si>
    <t>최민우</t>
    <phoneticPr fontId="2" type="noConversion"/>
  </si>
  <si>
    <t>이종원</t>
    <phoneticPr fontId="2" type="noConversion"/>
  </si>
  <si>
    <t>최대환</t>
    <phoneticPr fontId="2" type="noConversion"/>
  </si>
  <si>
    <t>서봉원</t>
    <phoneticPr fontId="2" type="noConversion"/>
  </si>
  <si>
    <t>한재혁</t>
    <phoneticPr fontId="2" type="noConversion"/>
  </si>
  <si>
    <t>김예준</t>
    <phoneticPr fontId="2" type="noConversion"/>
  </si>
  <si>
    <t>김성민</t>
    <phoneticPr fontId="2" type="noConversion"/>
  </si>
  <si>
    <t>최민우</t>
    <phoneticPr fontId="2" type="noConversion"/>
  </si>
  <si>
    <t>박재현</t>
    <phoneticPr fontId="2" type="noConversion"/>
  </si>
  <si>
    <t>장민창</t>
    <phoneticPr fontId="2" type="noConversion"/>
  </si>
  <si>
    <t>R</t>
    <phoneticPr fontId="2" type="noConversion"/>
  </si>
  <si>
    <t>장민창</t>
    <phoneticPr fontId="2" type="noConversion"/>
  </si>
  <si>
    <t>장민창</t>
    <phoneticPr fontId="2" type="noConversion"/>
  </si>
  <si>
    <t>박민혁</t>
    <phoneticPr fontId="2" type="noConversion"/>
  </si>
  <si>
    <t>이완근</t>
    <phoneticPr fontId="2" type="noConversion"/>
  </si>
  <si>
    <t>장민창</t>
    <phoneticPr fontId="2" type="noConversion"/>
  </si>
  <si>
    <t>장민창</t>
    <phoneticPr fontId="2" type="noConversion"/>
  </si>
  <si>
    <t>출장 100</t>
    <phoneticPr fontId="2" type="noConversion"/>
  </si>
  <si>
    <t>구원</t>
    <phoneticPr fontId="2" type="noConversion"/>
  </si>
  <si>
    <t xml:space="preserve">선발 </t>
    <phoneticPr fontId="2" type="noConversion"/>
  </si>
  <si>
    <t>승 50</t>
    <phoneticPr fontId="2" type="noConversion"/>
  </si>
  <si>
    <t>세 50</t>
    <phoneticPr fontId="2" type="noConversion"/>
  </si>
  <si>
    <t>홀드</t>
    <phoneticPr fontId="2" type="noConversion"/>
  </si>
  <si>
    <t xml:space="preserve">타자 </t>
    <phoneticPr fontId="2" type="noConversion"/>
  </si>
  <si>
    <t>서복현</t>
    <phoneticPr fontId="2" type="noConversion"/>
  </si>
  <si>
    <t>장민창</t>
    <phoneticPr fontId="2" type="noConversion"/>
  </si>
  <si>
    <t>최대환</t>
    <phoneticPr fontId="2" type="noConversion"/>
  </si>
  <si>
    <t>서봉원</t>
    <phoneticPr fontId="2" type="noConversion"/>
  </si>
  <si>
    <t>전영희</t>
    <phoneticPr fontId="2" type="noConversion"/>
  </si>
  <si>
    <t>이완근</t>
    <phoneticPr fontId="2" type="noConversion"/>
  </si>
  <si>
    <t>서봉원</t>
    <phoneticPr fontId="2" type="noConversion"/>
  </si>
  <si>
    <t>서봉원</t>
    <phoneticPr fontId="2" type="noConversion"/>
  </si>
  <si>
    <t>최대환</t>
    <phoneticPr fontId="2" type="noConversion"/>
  </si>
  <si>
    <t>서봉원</t>
    <phoneticPr fontId="2" type="noConversion"/>
  </si>
  <si>
    <t>최대환</t>
    <phoneticPr fontId="2" type="noConversion"/>
  </si>
  <si>
    <t>유규열</t>
    <phoneticPr fontId="2" type="noConversion"/>
  </si>
  <si>
    <t>이종원</t>
    <phoneticPr fontId="2" type="noConversion"/>
  </si>
  <si>
    <t>김성민</t>
    <phoneticPr fontId="2" type="noConversion"/>
  </si>
  <si>
    <t>김성민</t>
    <phoneticPr fontId="2" type="noConversion"/>
  </si>
  <si>
    <t>김진우</t>
    <phoneticPr fontId="2" type="noConversion"/>
  </si>
  <si>
    <t>오승렬</t>
    <phoneticPr fontId="2" type="noConversion"/>
  </si>
  <si>
    <t>유규열</t>
    <phoneticPr fontId="2" type="noConversion"/>
  </si>
  <si>
    <t>이학진</t>
    <phoneticPr fontId="2" type="noConversion"/>
  </si>
  <si>
    <t>박민혁</t>
    <phoneticPr fontId="2" type="noConversion"/>
  </si>
  <si>
    <t>이재성</t>
    <phoneticPr fontId="2" type="noConversion"/>
  </si>
  <si>
    <t>서봉원</t>
    <phoneticPr fontId="2" type="noConversion"/>
  </si>
  <si>
    <t>이민섭</t>
    <phoneticPr fontId="2" type="noConversion"/>
  </si>
  <si>
    <t>R</t>
    <phoneticPr fontId="2" type="noConversion"/>
  </si>
  <si>
    <t>이민섭</t>
    <phoneticPr fontId="2" type="noConversion"/>
  </si>
  <si>
    <t>이닝 250</t>
    <phoneticPr fontId="2" type="noConversion"/>
  </si>
  <si>
    <t>삼진 250</t>
    <phoneticPr fontId="2" type="noConversion"/>
  </si>
  <si>
    <t>이민섭</t>
    <phoneticPr fontId="2" type="noConversion"/>
  </si>
  <si>
    <t>김진광</t>
    <phoneticPr fontId="2" type="noConversion"/>
  </si>
  <si>
    <t>김민성</t>
    <phoneticPr fontId="2" type="noConversion"/>
  </si>
  <si>
    <t>이민섭</t>
    <phoneticPr fontId="2" type="noConversion"/>
  </si>
  <si>
    <t>이민섭</t>
    <phoneticPr fontId="2" type="noConversion"/>
  </si>
  <si>
    <t>이민섭</t>
    <phoneticPr fontId="2" type="noConversion"/>
  </si>
  <si>
    <t>이민섭</t>
    <phoneticPr fontId="2" type="noConversion"/>
  </si>
  <si>
    <t>이민섭</t>
    <phoneticPr fontId="2" type="noConversion"/>
  </si>
  <si>
    <t>박재현</t>
    <phoneticPr fontId="2" type="noConversion"/>
  </si>
  <si>
    <t>v</t>
    <phoneticPr fontId="2" type="noConversion"/>
  </si>
  <si>
    <t>v</t>
    <phoneticPr fontId="2" type="noConversion"/>
  </si>
  <si>
    <t>v</t>
    <phoneticPr fontId="2" type="noConversion"/>
  </si>
  <si>
    <t>v</t>
    <phoneticPr fontId="2" type="noConversion"/>
  </si>
  <si>
    <t>v</t>
    <phoneticPr fontId="2" type="noConversion"/>
  </si>
  <si>
    <t>박인서</t>
    <phoneticPr fontId="2" type="noConversion"/>
  </si>
  <si>
    <t>26시즌 전반기</t>
    <phoneticPr fontId="2" type="noConversion"/>
  </si>
  <si>
    <t>전영희</t>
    <phoneticPr fontId="2" type="noConversion"/>
  </si>
  <si>
    <t>전영희</t>
    <phoneticPr fontId="2" type="noConversion"/>
  </si>
  <si>
    <t>R</t>
    <phoneticPr fontId="2" type="noConversion"/>
  </si>
  <si>
    <t>이재성</t>
    <phoneticPr fontId="2" type="noConversion"/>
  </si>
  <si>
    <t>김민성</t>
    <phoneticPr fontId="2" type="noConversion"/>
  </si>
  <si>
    <t>이재성</t>
    <phoneticPr fontId="2" type="noConversion"/>
  </si>
  <si>
    <t>이완근</t>
    <phoneticPr fontId="2" type="noConversion"/>
  </si>
  <si>
    <t>이종원</t>
    <phoneticPr fontId="2" type="noConversion"/>
  </si>
  <si>
    <t>박민혁</t>
    <phoneticPr fontId="2" type="noConversion"/>
  </si>
  <si>
    <t>오승렬</t>
    <phoneticPr fontId="2" type="noConversion"/>
  </si>
  <si>
    <t>김지훈</t>
    <phoneticPr fontId="2" type="noConversion"/>
  </si>
  <si>
    <t>이학진</t>
    <phoneticPr fontId="2" type="noConversion"/>
  </si>
  <si>
    <t>26 시즌</t>
    <phoneticPr fontId="2" type="noConversion"/>
  </si>
  <si>
    <t>김민성</t>
    <phoneticPr fontId="2" type="noConversion"/>
  </si>
  <si>
    <t>박민혁</t>
    <phoneticPr fontId="2" type="noConversion"/>
  </si>
  <si>
    <t>이민섭</t>
    <phoneticPr fontId="2" type="noConversion"/>
  </si>
  <si>
    <t>주문철</t>
    <phoneticPr fontId="2" type="noConversion"/>
  </si>
  <si>
    <t>김민성</t>
    <phoneticPr fontId="2" type="noConversion"/>
  </si>
  <si>
    <t>서봉원</t>
    <phoneticPr fontId="2" type="noConversion"/>
  </si>
  <si>
    <t>김민성</t>
    <phoneticPr fontId="2" type="noConversion"/>
  </si>
  <si>
    <t>김민성</t>
    <phoneticPr fontId="2" type="noConversion"/>
  </si>
  <si>
    <t>김민성</t>
    <phoneticPr fontId="2" type="noConversion"/>
  </si>
  <si>
    <t>김민성</t>
    <phoneticPr fontId="2" type="noConversion"/>
  </si>
  <si>
    <t>사사구</t>
    <phoneticPr fontId="2" type="noConversion"/>
  </si>
  <si>
    <t>사사구</t>
    <phoneticPr fontId="2" type="noConversion"/>
  </si>
  <si>
    <t>사사구</t>
    <phoneticPr fontId="2" type="noConversion"/>
  </si>
  <si>
    <t>김예준</t>
    <phoneticPr fontId="2" type="noConversion"/>
  </si>
  <si>
    <t>김민성</t>
    <phoneticPr fontId="2" type="noConversion"/>
  </si>
  <si>
    <t>김민성</t>
    <phoneticPr fontId="2" type="noConversion"/>
  </si>
  <si>
    <t>김민성</t>
    <phoneticPr fontId="2" type="noConversion"/>
  </si>
  <si>
    <t>김민성</t>
    <phoneticPr fontId="2" type="noConversion"/>
  </si>
  <si>
    <t>김민성</t>
    <phoneticPr fontId="2" type="noConversion"/>
  </si>
  <si>
    <t>김민성</t>
    <phoneticPr fontId="2" type="noConversion"/>
  </si>
  <si>
    <t>김민성</t>
    <phoneticPr fontId="2" type="noConversion"/>
  </si>
  <si>
    <t>김민성</t>
    <phoneticPr fontId="2" type="noConversion"/>
  </si>
  <si>
    <t>김민성</t>
    <phoneticPr fontId="2" type="noConversion"/>
  </si>
  <si>
    <t>김민성</t>
    <phoneticPr fontId="2" type="noConversion"/>
  </si>
  <si>
    <t>김민성</t>
    <phoneticPr fontId="2" type="noConversion"/>
  </si>
  <si>
    <t>2025 시즌</t>
    <phoneticPr fontId="2" type="noConversion"/>
  </si>
  <si>
    <t>2024 시즌</t>
    <phoneticPr fontId="2" type="noConversion"/>
  </si>
  <si>
    <t>김민성</t>
    <phoneticPr fontId="2" type="noConversion"/>
  </si>
  <si>
    <t>이재성</t>
    <phoneticPr fontId="2" type="noConversion"/>
  </si>
  <si>
    <t>이종원</t>
    <phoneticPr fontId="2" type="noConversion"/>
  </si>
  <si>
    <t>서봉원</t>
    <phoneticPr fontId="2" type="noConversion"/>
  </si>
  <si>
    <t>박민혁</t>
    <phoneticPr fontId="2" type="noConversion"/>
  </si>
  <si>
    <t>이재성</t>
    <phoneticPr fontId="2" type="noConversion"/>
  </si>
  <si>
    <t>김성민</t>
    <phoneticPr fontId="2" type="noConversion"/>
  </si>
  <si>
    <t>이재성</t>
    <phoneticPr fontId="2" type="noConversion"/>
  </si>
  <si>
    <t>이재성</t>
    <phoneticPr fontId="2" type="noConversion"/>
  </si>
  <si>
    <t>김성민</t>
    <phoneticPr fontId="2" type="noConversion"/>
  </si>
  <si>
    <t>박인서</t>
    <phoneticPr fontId="2" type="noConversion"/>
  </si>
  <si>
    <t>이종원</t>
    <phoneticPr fontId="2" type="noConversion"/>
  </si>
  <si>
    <t>박인서</t>
    <phoneticPr fontId="2" type="noConversion"/>
  </si>
  <si>
    <t>김민성</t>
    <phoneticPr fontId="2" type="noConversion"/>
  </si>
  <si>
    <t>3월 31일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</si>
</sst>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00_ "/>
    <numFmt numFmtId="177" formatCode="0.00_ "/>
    <numFmt numFmtId="178" formatCode="0.000_);[Red]\(0.000\)"/>
    <numFmt numFmtId="179" formatCode="0.00_);[Red]\(0.00\)"/>
  </numFmts>
  <fonts count="9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74">
    <xf numFmtId="0" fontId="0" fillId="0" borderId="0" xfId="0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9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3" fillId="0" borderId="19" xfId="0" applyNumberFormat="1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176" fontId="1" fillId="0" borderId="10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176" fontId="1" fillId="0" borderId="15" xfId="0" applyNumberFormat="1" applyFont="1" applyBorder="1" applyAlignment="1">
      <alignment horizontal="center" vertical="center"/>
    </xf>
    <xf numFmtId="176" fontId="1" fillId="0" borderId="20" xfId="0" applyNumberFormat="1" applyFont="1" applyBorder="1" applyAlignment="1">
      <alignment horizontal="center" vertical="center"/>
    </xf>
    <xf numFmtId="176" fontId="1" fillId="0" borderId="7" xfId="0" applyNumberFormat="1" applyFont="1" applyBorder="1" applyAlignment="1">
      <alignment horizontal="center" vertical="center"/>
    </xf>
    <xf numFmtId="176" fontId="1" fillId="0" borderId="11" xfId="0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 vertical="center"/>
    </xf>
    <xf numFmtId="0" fontId="1" fillId="0" borderId="23" xfId="0" applyNumberFormat="1" applyFont="1" applyBorder="1" applyAlignment="1">
      <alignment horizontal="center" vertical="center"/>
    </xf>
    <xf numFmtId="0" fontId="1" fillId="0" borderId="12" xfId="0" applyNumberFormat="1" applyFont="1" applyBorder="1" applyAlignment="1">
      <alignment horizontal="center" vertical="center"/>
    </xf>
    <xf numFmtId="0" fontId="1" fillId="0" borderId="28" xfId="0" applyNumberFormat="1" applyFont="1" applyBorder="1" applyAlignment="1">
      <alignment horizontal="center" vertical="center"/>
    </xf>
    <xf numFmtId="0" fontId="1" fillId="0" borderId="26" xfId="0" applyNumberFormat="1" applyFont="1" applyBorder="1" applyAlignment="1">
      <alignment horizontal="center" vertical="center"/>
    </xf>
    <xf numFmtId="0" fontId="1" fillId="2" borderId="28" xfId="0" applyNumberFormat="1" applyFont="1" applyFill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 vertical="center"/>
    </xf>
    <xf numFmtId="0" fontId="1" fillId="0" borderId="29" xfId="0" applyNumberFormat="1" applyFont="1" applyBorder="1" applyAlignment="1">
      <alignment horizontal="center" vertical="center"/>
    </xf>
    <xf numFmtId="0" fontId="3" fillId="0" borderId="30" xfId="0" applyNumberFormat="1" applyFont="1" applyBorder="1" applyAlignment="1">
      <alignment horizontal="center" vertical="center"/>
    </xf>
    <xf numFmtId="0" fontId="1" fillId="0" borderId="30" xfId="0" applyNumberFormat="1" applyFont="1" applyBorder="1" applyAlignment="1">
      <alignment horizontal="center" vertical="center"/>
    </xf>
    <xf numFmtId="0" fontId="1" fillId="0" borderId="27" xfId="0" applyNumberFormat="1" applyFont="1" applyBorder="1" applyAlignment="1">
      <alignment horizontal="center" vertical="center"/>
    </xf>
    <xf numFmtId="0" fontId="1" fillId="2" borderId="27" xfId="0" applyNumberFormat="1" applyFont="1" applyFill="1" applyBorder="1" applyAlignment="1">
      <alignment horizontal="center" vertical="center"/>
    </xf>
    <xf numFmtId="0" fontId="1" fillId="4" borderId="27" xfId="0" applyNumberFormat="1" applyFont="1" applyFill="1" applyBorder="1" applyAlignment="1">
      <alignment horizontal="center" vertical="center"/>
    </xf>
    <xf numFmtId="0" fontId="1" fillId="0" borderId="25" xfId="0" applyNumberFormat="1" applyFont="1" applyBorder="1" applyAlignment="1">
      <alignment horizontal="center" vertical="center"/>
    </xf>
    <xf numFmtId="0" fontId="1" fillId="2" borderId="25" xfId="0" applyNumberFormat="1" applyFont="1" applyFill="1" applyBorder="1" applyAlignment="1">
      <alignment horizontal="center" vertical="center"/>
    </xf>
    <xf numFmtId="0" fontId="1" fillId="0" borderId="31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77" fontId="1" fillId="0" borderId="0" xfId="0" applyNumberFormat="1" applyFont="1" applyBorder="1" applyAlignment="1">
      <alignment horizontal="center" vertical="center"/>
    </xf>
    <xf numFmtId="176" fontId="1" fillId="0" borderId="8" xfId="0" applyNumberFormat="1" applyFont="1" applyBorder="1" applyAlignment="1">
      <alignment horizontal="center" vertical="center"/>
    </xf>
    <xf numFmtId="176" fontId="1" fillId="0" borderId="17" xfId="0" applyNumberFormat="1" applyFont="1" applyBorder="1" applyAlignment="1">
      <alignment horizontal="center" vertical="center"/>
    </xf>
    <xf numFmtId="176" fontId="1" fillId="0" borderId="14" xfId="0" applyNumberFormat="1" applyFont="1" applyBorder="1" applyAlignment="1">
      <alignment horizontal="center" vertical="center"/>
    </xf>
    <xf numFmtId="176" fontId="1" fillId="0" borderId="9" xfId="0" applyNumberFormat="1" applyFont="1" applyBorder="1" applyAlignment="1">
      <alignment horizontal="center" vertical="center"/>
    </xf>
    <xf numFmtId="176" fontId="1" fillId="0" borderId="18" xfId="0" applyNumberFormat="1" applyFont="1" applyBorder="1" applyAlignment="1">
      <alignment horizontal="center" vertical="center"/>
    </xf>
    <xf numFmtId="176" fontId="1" fillId="0" borderId="16" xfId="0" applyNumberFormat="1" applyFont="1" applyBorder="1" applyAlignment="1">
      <alignment horizontal="center" vertical="center"/>
    </xf>
    <xf numFmtId="177" fontId="1" fillId="0" borderId="15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NumberFormat="1" applyFont="1" applyBorder="1" applyAlignment="1">
      <alignment horizontal="center" vertical="center"/>
    </xf>
    <xf numFmtId="176" fontId="1" fillId="5" borderId="10" xfId="0" applyNumberFormat="1" applyFont="1" applyFill="1" applyBorder="1" applyAlignment="1">
      <alignment horizontal="center" vertical="center"/>
    </xf>
    <xf numFmtId="176" fontId="1" fillId="5" borderId="0" xfId="0" applyNumberFormat="1" applyFont="1" applyFill="1" applyBorder="1" applyAlignment="1">
      <alignment horizontal="center" vertical="center"/>
    </xf>
    <xf numFmtId="176" fontId="1" fillId="5" borderId="15" xfId="0" applyNumberFormat="1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2" xfId="0" applyNumberFormat="1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177" fontId="1" fillId="7" borderId="15" xfId="0" applyNumberFormat="1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177" fontId="1" fillId="5" borderId="0" xfId="0" applyNumberFormat="1" applyFont="1" applyFill="1" applyBorder="1" applyAlignment="1">
      <alignment horizontal="center" vertical="center"/>
    </xf>
    <xf numFmtId="177" fontId="1" fillId="5" borderId="15" xfId="0" applyNumberFormat="1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NumberFormat="1" applyFont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0" fontId="1" fillId="0" borderId="7" xfId="0" applyNumberFormat="1" applyFont="1" applyBorder="1" applyAlignment="1">
      <alignment horizontal="center" vertical="center" wrapText="1"/>
    </xf>
    <xf numFmtId="12" fontId="1" fillId="0" borderId="0" xfId="0" applyNumberFormat="1" applyFont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12" fontId="1" fillId="0" borderId="7" xfId="0" applyNumberFormat="1" applyFont="1" applyBorder="1" applyAlignment="1">
      <alignment horizontal="center" vertical="center"/>
    </xf>
    <xf numFmtId="177" fontId="1" fillId="0" borderId="7" xfId="0" applyNumberFormat="1" applyFont="1" applyBorder="1" applyAlignment="1">
      <alignment horizontal="center" vertical="center"/>
    </xf>
    <xf numFmtId="178" fontId="1" fillId="0" borderId="0" xfId="0" applyNumberFormat="1" applyFont="1" applyBorder="1" applyAlignment="1">
      <alignment horizontal="center" vertical="center"/>
    </xf>
    <xf numFmtId="178" fontId="1" fillId="0" borderId="15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78" fontId="1" fillId="0" borderId="7" xfId="0" applyNumberFormat="1" applyFont="1" applyBorder="1" applyAlignment="1">
      <alignment horizontal="center" vertical="center"/>
    </xf>
    <xf numFmtId="178" fontId="1" fillId="0" borderId="11" xfId="0" applyNumberFormat="1" applyFont="1" applyBorder="1" applyAlignment="1">
      <alignment horizontal="center" vertical="center"/>
    </xf>
    <xf numFmtId="12" fontId="7" fillId="0" borderId="7" xfId="0" applyNumberFormat="1" applyFont="1" applyBorder="1" applyAlignment="1">
      <alignment horizontal="center" vertical="center"/>
    </xf>
    <xf numFmtId="179" fontId="1" fillId="0" borderId="0" xfId="0" applyNumberFormat="1" applyFont="1" applyBorder="1" applyAlignment="1">
      <alignment horizontal="center" vertical="center"/>
    </xf>
    <xf numFmtId="179" fontId="1" fillId="0" borderId="7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0" xfId="0" applyNumberFormat="1" applyFont="1" applyBorder="1" applyAlignment="1">
      <alignment horizontal="center" vertical="center"/>
    </xf>
    <xf numFmtId="12" fontId="1" fillId="0" borderId="14" xfId="0" applyNumberFormat="1" applyFont="1" applyBorder="1" applyAlignment="1">
      <alignment horizontal="center" vertical="center"/>
    </xf>
    <xf numFmtId="12" fontId="1" fillId="0" borderId="15" xfId="0" applyNumberFormat="1" applyFont="1" applyBorder="1" applyAlignment="1">
      <alignment horizontal="center" vertical="center"/>
    </xf>
    <xf numFmtId="179" fontId="1" fillId="0" borderId="15" xfId="0" applyNumberFormat="1" applyFont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1" fillId="0" borderId="15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176" fontId="1" fillId="9" borderId="20" xfId="0" applyNumberFormat="1" applyFont="1" applyFill="1" applyBorder="1" applyAlignment="1">
      <alignment horizontal="center" vertical="center"/>
    </xf>
    <xf numFmtId="176" fontId="1" fillId="9" borderId="7" xfId="0" applyNumberFormat="1" applyFont="1" applyFill="1" applyBorder="1" applyAlignment="1">
      <alignment horizontal="center" vertical="center"/>
    </xf>
    <xf numFmtId="176" fontId="1" fillId="9" borderId="11" xfId="0" applyNumberFormat="1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4" fillId="9" borderId="20" xfId="0" applyNumberFormat="1" applyFont="1" applyFill="1" applyBorder="1" applyAlignment="1">
      <alignment horizontal="center" vertical="center"/>
    </xf>
    <xf numFmtId="176" fontId="1" fillId="9" borderId="9" xfId="0" applyNumberFormat="1" applyFont="1" applyFill="1" applyBorder="1" applyAlignment="1">
      <alignment horizontal="center" vertical="center"/>
    </xf>
    <xf numFmtId="176" fontId="1" fillId="9" borderId="18" xfId="0" applyNumberFormat="1" applyFont="1" applyFill="1" applyBorder="1" applyAlignment="1">
      <alignment horizontal="center" vertical="center"/>
    </xf>
    <xf numFmtId="176" fontId="1" fillId="9" borderId="16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18" xfId="0" applyFont="1" applyFill="1" applyBorder="1" applyAlignment="1">
      <alignment horizontal="center" vertical="center"/>
    </xf>
    <xf numFmtId="0" fontId="1" fillId="9" borderId="9" xfId="0" applyNumberFormat="1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77" fontId="1" fillId="2" borderId="0" xfId="0" applyNumberFormat="1" applyFont="1" applyFill="1" applyBorder="1" applyAlignment="1">
      <alignment horizontal="center" vertical="center"/>
    </xf>
    <xf numFmtId="177" fontId="1" fillId="2" borderId="15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176" fontId="1" fillId="6" borderId="15" xfId="0" applyNumberFormat="1" applyFont="1" applyFill="1" applyBorder="1" applyAlignment="1">
      <alignment horizontal="center" vertical="center"/>
    </xf>
    <xf numFmtId="0" fontId="1" fillId="3" borderId="27" xfId="0" applyNumberFormat="1" applyFont="1" applyFill="1" applyBorder="1" applyAlignment="1">
      <alignment horizontal="center" vertical="center"/>
    </xf>
    <xf numFmtId="0" fontId="1" fillId="2" borderId="24" xfId="0" applyNumberFormat="1" applyFont="1" applyFill="1" applyBorder="1" applyAlignment="1">
      <alignment horizontal="center" vertical="center"/>
    </xf>
    <xf numFmtId="0" fontId="1" fillId="2" borderId="26" xfId="0" applyNumberFormat="1" applyFont="1" applyFill="1" applyBorder="1" applyAlignment="1">
      <alignment horizontal="center" vertical="center"/>
    </xf>
    <xf numFmtId="0" fontId="1" fillId="0" borderId="32" xfId="0" applyNumberFormat="1" applyFont="1" applyBorder="1" applyAlignment="1">
      <alignment horizontal="center" vertical="center"/>
    </xf>
    <xf numFmtId="0" fontId="1" fillId="0" borderId="33" xfId="0" applyNumberFormat="1" applyFont="1" applyBorder="1" applyAlignment="1">
      <alignment horizontal="center" vertical="center"/>
    </xf>
    <xf numFmtId="0" fontId="1" fillId="2" borderId="33" xfId="0" applyNumberFormat="1" applyFont="1" applyFill="1" applyBorder="1" applyAlignment="1">
      <alignment horizontal="center" vertical="center"/>
    </xf>
    <xf numFmtId="0" fontId="1" fillId="3" borderId="33" xfId="0" applyNumberFormat="1" applyFont="1" applyFill="1" applyBorder="1" applyAlignment="1">
      <alignment horizontal="center" vertical="center"/>
    </xf>
    <xf numFmtId="0" fontId="4" fillId="9" borderId="7" xfId="0" applyNumberFormat="1" applyFont="1" applyFill="1" applyBorder="1" applyAlignment="1">
      <alignment horizontal="center" vertical="center"/>
    </xf>
    <xf numFmtId="0" fontId="1" fillId="0" borderId="34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2" borderId="15" xfId="0" applyNumberFormat="1" applyFont="1" applyFill="1" applyBorder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/>
    </xf>
    <xf numFmtId="176" fontId="1" fillId="2" borderId="10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1" fillId="9" borderId="13" xfId="0" applyNumberFormat="1" applyFont="1" applyFill="1" applyBorder="1" applyAlignment="1">
      <alignment horizontal="center" vertical="center"/>
    </xf>
    <xf numFmtId="0" fontId="1" fillId="9" borderId="18" xfId="0" applyNumberFormat="1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11" borderId="17" xfId="0" applyFont="1" applyFill="1" applyBorder="1" applyAlignment="1">
      <alignment horizontal="center" vertical="center"/>
    </xf>
    <xf numFmtId="0" fontId="1" fillId="11" borderId="14" xfId="0" applyFont="1" applyFill="1" applyBorder="1" applyAlignment="1">
      <alignment horizontal="center" vertical="center"/>
    </xf>
    <xf numFmtId="176" fontId="1" fillId="11" borderId="8" xfId="0" applyNumberFormat="1" applyFont="1" applyFill="1" applyBorder="1" applyAlignment="1">
      <alignment horizontal="center" vertical="center"/>
    </xf>
    <xf numFmtId="176" fontId="1" fillId="11" borderId="17" xfId="0" applyNumberFormat="1" applyFont="1" applyFill="1" applyBorder="1" applyAlignment="1">
      <alignment horizontal="center" vertical="center"/>
    </xf>
    <xf numFmtId="176" fontId="1" fillId="11" borderId="14" xfId="0" applyNumberFormat="1" applyFont="1" applyFill="1" applyBorder="1" applyAlignment="1">
      <alignment horizontal="center" vertical="center"/>
    </xf>
    <xf numFmtId="0" fontId="1" fillId="11" borderId="18" xfId="0" applyFont="1" applyFill="1" applyBorder="1" applyAlignment="1">
      <alignment horizontal="center" vertical="center"/>
    </xf>
    <xf numFmtId="0" fontId="1" fillId="11" borderId="16" xfId="0" applyFont="1" applyFill="1" applyBorder="1" applyAlignment="1">
      <alignment horizontal="center" vertical="center"/>
    </xf>
    <xf numFmtId="0" fontId="1" fillId="11" borderId="13" xfId="0" applyFont="1" applyFill="1" applyBorder="1" applyAlignment="1">
      <alignment horizontal="center" vertical="center"/>
    </xf>
    <xf numFmtId="176" fontId="1" fillId="11" borderId="18" xfId="0" applyNumberFormat="1" applyFont="1" applyFill="1" applyBorder="1" applyAlignment="1">
      <alignment horizontal="center" vertical="center"/>
    </xf>
    <xf numFmtId="176" fontId="1" fillId="11" borderId="16" xfId="0" applyNumberFormat="1" applyFont="1" applyFill="1" applyBorder="1" applyAlignment="1">
      <alignment horizontal="center" vertical="center"/>
    </xf>
    <xf numFmtId="176" fontId="1" fillId="11" borderId="9" xfId="0" applyNumberFormat="1" applyFont="1" applyFill="1" applyBorder="1" applyAlignment="1">
      <alignment horizontal="center" vertical="center"/>
    </xf>
    <xf numFmtId="0" fontId="1" fillId="0" borderId="7" xfId="0" applyNumberFormat="1" applyFont="1" applyBorder="1" applyAlignment="1">
      <alignment horizontal="center" vertical="center"/>
    </xf>
    <xf numFmtId="0" fontId="1" fillId="0" borderId="20" xfId="0" applyNumberFormat="1" applyFont="1" applyBorder="1" applyAlignment="1">
      <alignment horizontal="center" vertical="center"/>
    </xf>
    <xf numFmtId="0" fontId="1" fillId="0" borderId="1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2" borderId="35" xfId="0" applyNumberFormat="1" applyFont="1" applyFill="1" applyBorder="1" applyAlignment="1">
      <alignment horizontal="center" vertical="center"/>
    </xf>
    <xf numFmtId="0" fontId="1" fillId="0" borderId="36" xfId="0" applyNumberFormat="1" applyFont="1" applyBorder="1" applyAlignment="1">
      <alignment horizontal="center" vertical="center"/>
    </xf>
    <xf numFmtId="0" fontId="1" fillId="2" borderId="36" xfId="0" applyNumberFormat="1" applyFont="1" applyFill="1" applyBorder="1" applyAlignment="1">
      <alignment horizontal="center" vertical="center"/>
    </xf>
    <xf numFmtId="0" fontId="1" fillId="0" borderId="37" xfId="0" applyNumberFormat="1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center" vertical="center"/>
    </xf>
    <xf numFmtId="0" fontId="8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5" xfId="0" applyBorder="1">
      <alignment vertical="center"/>
    </xf>
    <xf numFmtId="0" fontId="1" fillId="9" borderId="16" xfId="0" applyNumberFormat="1" applyFont="1" applyFill="1" applyBorder="1" applyAlignment="1">
      <alignment horizontal="center" vertical="center"/>
    </xf>
    <xf numFmtId="0" fontId="3" fillId="0" borderId="7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5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1" fillId="10" borderId="12" xfId="0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/>
    </xf>
    <xf numFmtId="176" fontId="1" fillId="10" borderId="10" xfId="0" applyNumberFormat="1" applyFont="1" applyFill="1" applyBorder="1" applyAlignment="1">
      <alignment horizontal="center" vertical="center"/>
    </xf>
    <xf numFmtId="176" fontId="1" fillId="10" borderId="0" xfId="0" applyNumberFormat="1" applyFont="1" applyFill="1" applyBorder="1" applyAlignment="1">
      <alignment horizontal="center" vertical="center"/>
    </xf>
    <xf numFmtId="176" fontId="1" fillId="10" borderId="15" xfId="0" applyNumberFormat="1" applyFont="1" applyFill="1" applyBorder="1" applyAlignment="1">
      <alignment horizontal="center" vertical="center"/>
    </xf>
    <xf numFmtId="177" fontId="1" fillId="10" borderId="0" xfId="0" applyNumberFormat="1" applyFont="1" applyFill="1" applyBorder="1" applyAlignment="1">
      <alignment horizontal="center" vertical="center"/>
    </xf>
    <xf numFmtId="177" fontId="1" fillId="10" borderId="15" xfId="0" applyNumberFormat="1" applyFont="1" applyFill="1" applyBorder="1" applyAlignment="1">
      <alignment horizontal="center" vertical="center"/>
    </xf>
    <xf numFmtId="0" fontId="1" fillId="12" borderId="12" xfId="0" applyFont="1" applyFill="1" applyBorder="1" applyAlignment="1">
      <alignment horizontal="center" vertical="center"/>
    </xf>
    <xf numFmtId="0" fontId="1" fillId="12" borderId="15" xfId="0" applyFont="1" applyFill="1" applyBorder="1" applyAlignment="1">
      <alignment horizontal="center" vertical="center"/>
    </xf>
    <xf numFmtId="176" fontId="1" fillId="12" borderId="10" xfId="0" applyNumberFormat="1" applyFont="1" applyFill="1" applyBorder="1" applyAlignment="1">
      <alignment horizontal="center" vertical="center"/>
    </xf>
    <xf numFmtId="176" fontId="1" fillId="12" borderId="0" xfId="0" applyNumberFormat="1" applyFont="1" applyFill="1" applyBorder="1" applyAlignment="1">
      <alignment horizontal="center" vertical="center"/>
    </xf>
    <xf numFmtId="176" fontId="1" fillId="12" borderId="15" xfId="0" applyNumberFormat="1" applyFont="1" applyFill="1" applyBorder="1" applyAlignment="1">
      <alignment horizontal="center" vertical="center"/>
    </xf>
    <xf numFmtId="177" fontId="1" fillId="12" borderId="0" xfId="0" applyNumberFormat="1" applyFont="1" applyFill="1" applyBorder="1" applyAlignment="1">
      <alignment horizontal="center" vertical="center"/>
    </xf>
    <xf numFmtId="177" fontId="1" fillId="12" borderId="15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0" xfId="0" applyNumberFormat="1" applyFont="1" applyBorder="1" applyAlignment="1">
      <alignment horizontal="center" vertical="center"/>
    </xf>
    <xf numFmtId="0" fontId="1" fillId="0" borderId="11" xfId="0" applyNumberFormat="1" applyFont="1" applyBorder="1" applyAlignment="1">
      <alignment horizontal="center" vertical="center"/>
    </xf>
    <xf numFmtId="0" fontId="1" fillId="0" borderId="7" xfId="0" applyNumberFormat="1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5" xfId="0" applyNumberFormat="1" applyFont="1" applyFill="1" applyBorder="1" applyAlignment="1">
      <alignment horizontal="center" vertical="center"/>
    </xf>
    <xf numFmtId="0" fontId="1" fillId="0" borderId="30" xfId="0" applyNumberFormat="1" applyFont="1" applyBorder="1" applyAlignment="1">
      <alignment horizontal="center" vertical="center"/>
    </xf>
    <xf numFmtId="0" fontId="1" fillId="0" borderId="29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0" fontId="1" fillId="11" borderId="0" xfId="0" applyNumberFormat="1" applyFont="1" applyFill="1" applyBorder="1" applyAlignment="1">
      <alignment horizontal="center" vertical="center"/>
    </xf>
    <xf numFmtId="0" fontId="4" fillId="2" borderId="10" xfId="0" applyNumberFormat="1" applyFont="1" applyFill="1" applyBorder="1" applyAlignment="1">
      <alignment horizontal="center" vertical="center"/>
    </xf>
    <xf numFmtId="0" fontId="4" fillId="2" borderId="15" xfId="0" applyNumberFormat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15" xfId="0" applyFont="1" applyFill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 wrapText="1"/>
    </xf>
    <xf numFmtId="179" fontId="1" fillId="5" borderId="0" xfId="0" applyNumberFormat="1" applyFont="1" applyFill="1" applyBorder="1" applyAlignment="1">
      <alignment horizontal="center" vertical="center"/>
    </xf>
    <xf numFmtId="178" fontId="1" fillId="5" borderId="15" xfId="0" applyNumberFormat="1" applyFont="1" applyFill="1" applyBorder="1" applyAlignment="1">
      <alignment horizontal="center" vertical="center"/>
    </xf>
    <xf numFmtId="179" fontId="1" fillId="6" borderId="0" xfId="0" applyNumberFormat="1" applyFont="1" applyFill="1" applyBorder="1" applyAlignment="1">
      <alignment horizontal="center" vertical="center"/>
    </xf>
    <xf numFmtId="178" fontId="1" fillId="6" borderId="15" xfId="0" applyNumberFormat="1" applyFont="1" applyFill="1" applyBorder="1" applyAlignment="1">
      <alignment horizontal="center" vertical="center"/>
    </xf>
    <xf numFmtId="0" fontId="1" fillId="14" borderId="7" xfId="0" applyFont="1" applyFill="1" applyBorder="1" applyAlignment="1">
      <alignment horizontal="center" vertical="center"/>
    </xf>
    <xf numFmtId="0" fontId="1" fillId="14" borderId="17" xfId="0" applyFont="1" applyFill="1" applyBorder="1" applyAlignment="1">
      <alignment horizontal="center" vertical="center"/>
    </xf>
    <xf numFmtId="0" fontId="1" fillId="14" borderId="0" xfId="0" applyFont="1" applyFill="1" applyBorder="1" applyAlignment="1">
      <alignment horizontal="center" vertical="center"/>
    </xf>
    <xf numFmtId="0" fontId="1" fillId="14" borderId="18" xfId="0" applyFont="1" applyFill="1" applyBorder="1" applyAlignment="1">
      <alignment horizontal="center" vertical="center"/>
    </xf>
    <xf numFmtId="0" fontId="1" fillId="14" borderId="7" xfId="0" applyNumberFormat="1" applyFont="1" applyFill="1" applyBorder="1" applyAlignment="1">
      <alignment horizontal="center" vertical="center"/>
    </xf>
    <xf numFmtId="0" fontId="1" fillId="14" borderId="17" xfId="0" applyNumberFormat="1" applyFont="1" applyFill="1" applyBorder="1" applyAlignment="1">
      <alignment horizontal="center" vertical="center"/>
    </xf>
    <xf numFmtId="0" fontId="1" fillId="14" borderId="0" xfId="0" applyNumberFormat="1" applyFont="1" applyFill="1" applyBorder="1" applyAlignment="1">
      <alignment horizontal="center" vertical="center"/>
    </xf>
    <xf numFmtId="0" fontId="1" fillId="14" borderId="18" xfId="0" applyNumberFormat="1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0" fontId="1" fillId="10" borderId="16" xfId="0" applyFont="1" applyFill="1" applyBorder="1" applyAlignment="1">
      <alignment horizontal="center" vertical="center"/>
    </xf>
    <xf numFmtId="12" fontId="1" fillId="10" borderId="15" xfId="0" applyNumberFormat="1" applyFont="1" applyFill="1" applyBorder="1" applyAlignment="1">
      <alignment horizontal="center" vertical="center"/>
    </xf>
    <xf numFmtId="178" fontId="1" fillId="10" borderId="15" xfId="0" applyNumberFormat="1" applyFont="1" applyFill="1" applyBorder="1" applyAlignment="1">
      <alignment horizontal="center" vertical="center"/>
    </xf>
    <xf numFmtId="179" fontId="1" fillId="10" borderId="15" xfId="0" applyNumberFormat="1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10" xfId="0" applyNumberFormat="1" applyFont="1" applyFill="1" applyBorder="1" applyAlignment="1">
      <alignment horizontal="center" vertical="center"/>
    </xf>
    <xf numFmtId="179" fontId="1" fillId="6" borderId="15" xfId="0" applyNumberFormat="1" applyFont="1" applyFill="1" applyBorder="1" applyAlignment="1">
      <alignment horizontal="center" vertical="center"/>
    </xf>
    <xf numFmtId="177" fontId="1" fillId="6" borderId="15" xfId="0" applyNumberFormat="1" applyFont="1" applyFill="1" applyBorder="1" applyAlignment="1">
      <alignment horizontal="center" vertical="center"/>
    </xf>
    <xf numFmtId="178" fontId="1" fillId="0" borderId="0" xfId="0" applyNumberFormat="1" applyFont="1" applyBorder="1" applyAlignment="1">
      <alignment horizontal="center" vertical="center" wrapText="1"/>
    </xf>
    <xf numFmtId="178" fontId="1" fillId="0" borderId="7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0" xfId="0" applyNumberFormat="1" applyFont="1" applyBorder="1" applyAlignment="1">
      <alignment horizontal="center" vertical="center"/>
    </xf>
    <xf numFmtId="0" fontId="1" fillId="0" borderId="11" xfId="0" applyNumberFormat="1" applyFont="1" applyBorder="1" applyAlignment="1">
      <alignment horizontal="center" vertical="center"/>
    </xf>
    <xf numFmtId="0" fontId="1" fillId="0" borderId="7" xfId="0" applyNumberFormat="1" applyFont="1" applyBorder="1" applyAlignment="1">
      <alignment horizontal="center" vertical="center"/>
    </xf>
    <xf numFmtId="0" fontId="1" fillId="0" borderId="20" xfId="0" applyNumberFormat="1" applyFont="1" applyBorder="1" applyAlignment="1">
      <alignment horizontal="center" vertical="center"/>
    </xf>
    <xf numFmtId="0" fontId="1" fillId="0" borderId="11" xfId="0" applyNumberFormat="1" applyFont="1" applyBorder="1" applyAlignment="1">
      <alignment horizontal="center" vertical="center"/>
    </xf>
    <xf numFmtId="0" fontId="1" fillId="0" borderId="7" xfId="0" applyNumberFormat="1" applyFont="1" applyBorder="1" applyAlignment="1">
      <alignment horizontal="center" vertical="center"/>
    </xf>
    <xf numFmtId="0" fontId="1" fillId="5" borderId="15" xfId="0" applyNumberFormat="1" applyFont="1" applyFill="1" applyBorder="1" applyAlignment="1">
      <alignment horizontal="center" vertical="center"/>
    </xf>
    <xf numFmtId="0" fontId="1" fillId="5" borderId="16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0" xfId="0" applyNumberFormat="1" applyFont="1" applyFill="1" applyBorder="1" applyAlignment="1">
      <alignment horizontal="center" vertical="center"/>
    </xf>
    <xf numFmtId="0" fontId="0" fillId="0" borderId="7" xfId="0" applyBorder="1">
      <alignment vertical="center"/>
    </xf>
    <xf numFmtId="179" fontId="1" fillId="5" borderId="18" xfId="0" applyNumberFormat="1" applyFont="1" applyFill="1" applyBorder="1" applyAlignment="1">
      <alignment horizontal="center" vertical="center"/>
    </xf>
    <xf numFmtId="178" fontId="1" fillId="5" borderId="16" xfId="0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NumberFormat="1" applyFont="1" applyBorder="1" applyAlignment="1">
      <alignment horizontal="center" vertical="center"/>
    </xf>
    <xf numFmtId="177" fontId="1" fillId="6" borderId="0" xfId="0" applyNumberFormat="1" applyFont="1" applyFill="1" applyBorder="1" applyAlignment="1">
      <alignment horizontal="center" vertical="center"/>
    </xf>
    <xf numFmtId="176" fontId="1" fillId="14" borderId="20" xfId="0" applyNumberFormat="1" applyFont="1" applyFill="1" applyBorder="1" applyAlignment="1">
      <alignment horizontal="center" vertical="center"/>
    </xf>
    <xf numFmtId="176" fontId="1" fillId="14" borderId="7" xfId="0" applyNumberFormat="1" applyFont="1" applyFill="1" applyBorder="1" applyAlignment="1">
      <alignment horizontal="center" vertical="center"/>
    </xf>
    <xf numFmtId="176" fontId="1" fillId="14" borderId="11" xfId="0" applyNumberFormat="1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7" xfId="0" applyNumberFormat="1" applyFont="1" applyBorder="1" applyAlignment="1">
      <alignment horizontal="center" vertical="center"/>
    </xf>
    <xf numFmtId="0" fontId="1" fillId="12" borderId="0" xfId="0" applyFont="1" applyFill="1" applyBorder="1" applyAlignment="1">
      <alignment horizontal="center" vertical="center"/>
    </xf>
    <xf numFmtId="176" fontId="1" fillId="10" borderId="16" xfId="0" applyNumberFormat="1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10" borderId="13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3" fillId="0" borderId="29" xfId="0" applyNumberFormat="1" applyFont="1" applyBorder="1" applyAlignment="1">
      <alignment horizontal="center" vertical="center"/>
    </xf>
    <xf numFmtId="176" fontId="1" fillId="0" borderId="13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176" fontId="1" fillId="10" borderId="9" xfId="0" applyNumberFormat="1" applyFont="1" applyFill="1" applyBorder="1" applyAlignment="1">
      <alignment horizontal="center" vertical="center"/>
    </xf>
    <xf numFmtId="176" fontId="1" fillId="10" borderId="18" xfId="0" applyNumberFormat="1" applyFont="1" applyFill="1" applyBorder="1" applyAlignment="1">
      <alignment horizontal="center" vertical="center"/>
    </xf>
    <xf numFmtId="177" fontId="1" fillId="10" borderId="18" xfId="0" applyNumberFormat="1" applyFont="1" applyFill="1" applyBorder="1" applyAlignment="1">
      <alignment horizontal="center" vertical="center"/>
    </xf>
    <xf numFmtId="177" fontId="1" fillId="10" borderId="16" xfId="0" applyNumberFormat="1" applyFont="1" applyFill="1" applyBorder="1" applyAlignment="1">
      <alignment horizontal="center" vertical="center"/>
    </xf>
    <xf numFmtId="0" fontId="1" fillId="2" borderId="15" xfId="0" applyNumberFormat="1" applyFont="1" applyFill="1" applyBorder="1" applyAlignment="1">
      <alignment horizontal="center" vertical="center"/>
    </xf>
    <xf numFmtId="176" fontId="1" fillId="0" borderId="12" xfId="0" applyNumberFormat="1" applyFont="1" applyBorder="1" applyAlignment="1">
      <alignment horizontal="center" vertical="center"/>
    </xf>
    <xf numFmtId="176" fontId="1" fillId="7" borderId="8" xfId="0" applyNumberFormat="1" applyFont="1" applyFill="1" applyBorder="1" applyAlignment="1">
      <alignment horizontal="center" vertical="center"/>
    </xf>
    <xf numFmtId="176" fontId="1" fillId="7" borderId="10" xfId="0" applyNumberFormat="1" applyFont="1" applyFill="1" applyBorder="1" applyAlignment="1">
      <alignment horizontal="center" vertical="center"/>
    </xf>
    <xf numFmtId="176" fontId="1" fillId="7" borderId="9" xfId="0" applyNumberFormat="1" applyFont="1" applyFill="1" applyBorder="1" applyAlignment="1">
      <alignment horizontal="center" vertical="center"/>
    </xf>
    <xf numFmtId="177" fontId="1" fillId="5" borderId="16" xfId="0" applyNumberFormat="1" applyFont="1" applyFill="1" applyBorder="1" applyAlignment="1">
      <alignment horizontal="center" vertical="center"/>
    </xf>
    <xf numFmtId="179" fontId="1" fillId="7" borderId="14" xfId="0" applyNumberFormat="1" applyFont="1" applyFill="1" applyBorder="1" applyAlignment="1">
      <alignment horizontal="center" vertical="center"/>
    </xf>
    <xf numFmtId="179" fontId="1" fillId="7" borderId="15" xfId="0" applyNumberFormat="1" applyFont="1" applyFill="1" applyBorder="1" applyAlignment="1">
      <alignment horizontal="center" vertical="center"/>
    </xf>
    <xf numFmtId="179" fontId="1" fillId="2" borderId="15" xfId="0" applyNumberFormat="1" applyFont="1" applyFill="1" applyBorder="1" applyAlignment="1">
      <alignment horizontal="center" vertical="center"/>
    </xf>
    <xf numFmtId="179" fontId="1" fillId="0" borderId="16" xfId="0" applyNumberFormat="1" applyFont="1" applyBorder="1" applyAlignment="1">
      <alignment horizontal="center" vertical="center"/>
    </xf>
    <xf numFmtId="179" fontId="1" fillId="5" borderId="15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177" fontId="1" fillId="0" borderId="14" xfId="0" applyNumberFormat="1" applyFont="1" applyBorder="1" applyAlignment="1">
      <alignment horizontal="center" vertical="center"/>
    </xf>
    <xf numFmtId="177" fontId="1" fillId="13" borderId="15" xfId="0" applyNumberFormat="1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176" fontId="1" fillId="7" borderId="6" xfId="0" applyNumberFormat="1" applyFont="1" applyFill="1" applyBorder="1" applyAlignment="1">
      <alignment horizontal="center" vertical="center"/>
    </xf>
    <xf numFmtId="176" fontId="1" fillId="7" borderId="12" xfId="0" applyNumberFormat="1" applyFont="1" applyFill="1" applyBorder="1" applyAlignment="1">
      <alignment horizontal="center" vertical="center"/>
    </xf>
    <xf numFmtId="176" fontId="1" fillId="7" borderId="13" xfId="0" applyNumberFormat="1" applyFont="1" applyFill="1" applyBorder="1" applyAlignment="1">
      <alignment horizontal="center" vertical="center"/>
    </xf>
    <xf numFmtId="176" fontId="1" fillId="6" borderId="6" xfId="0" applyNumberFormat="1" applyFont="1" applyFill="1" applyBorder="1" applyAlignment="1">
      <alignment horizontal="center" vertical="center"/>
    </xf>
    <xf numFmtId="176" fontId="1" fillId="6" borderId="12" xfId="0" applyNumberFormat="1" applyFont="1" applyFill="1" applyBorder="1" applyAlignment="1">
      <alignment horizontal="center" vertical="center"/>
    </xf>
    <xf numFmtId="176" fontId="1" fillId="2" borderId="12" xfId="0" applyNumberFormat="1" applyFont="1" applyFill="1" applyBorder="1" applyAlignment="1">
      <alignment horizontal="center" vertical="center"/>
    </xf>
    <xf numFmtId="176" fontId="1" fillId="5" borderId="12" xfId="0" applyNumberFormat="1" applyFont="1" applyFill="1" applyBorder="1" applyAlignment="1">
      <alignment horizontal="center" vertical="center"/>
    </xf>
    <xf numFmtId="176" fontId="1" fillId="10" borderId="12" xfId="0" applyNumberFormat="1" applyFont="1" applyFill="1" applyBorder="1" applyAlignment="1">
      <alignment horizontal="center" vertical="center"/>
    </xf>
    <xf numFmtId="176" fontId="1" fillId="2" borderId="13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NumberFormat="1" applyFont="1" applyBorder="1" applyAlignment="1">
      <alignment horizontal="center" vertical="center"/>
    </xf>
    <xf numFmtId="0" fontId="1" fillId="2" borderId="12" xfId="0" applyNumberFormat="1" applyFont="1" applyFill="1" applyBorder="1" applyAlignment="1">
      <alignment horizontal="center" vertical="center"/>
    </xf>
    <xf numFmtId="177" fontId="1" fillId="2" borderId="12" xfId="0" applyNumberFormat="1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6" borderId="14" xfId="0" applyNumberFormat="1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0" xfId="0" applyNumberFormat="1" applyFont="1" applyBorder="1" applyAlignment="1">
      <alignment horizontal="center" vertical="center"/>
    </xf>
    <xf numFmtId="0" fontId="1" fillId="0" borderId="11" xfId="0" applyNumberFormat="1" applyFont="1" applyBorder="1" applyAlignment="1">
      <alignment horizontal="center" vertical="center"/>
    </xf>
    <xf numFmtId="0" fontId="1" fillId="0" borderId="7" xfId="0" applyNumberFormat="1" applyFont="1" applyBorder="1" applyAlignment="1">
      <alignment horizontal="center" vertical="center"/>
    </xf>
    <xf numFmtId="0" fontId="1" fillId="0" borderId="20" xfId="0" applyNumberFormat="1" applyFont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10" borderId="15" xfId="0" applyNumberFormat="1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12" borderId="14" xfId="0" applyFont="1" applyFill="1" applyBorder="1" applyAlignment="1">
      <alignment horizontal="center" vertical="center"/>
    </xf>
    <xf numFmtId="176" fontId="1" fillId="12" borderId="8" xfId="0" applyNumberFormat="1" applyFont="1" applyFill="1" applyBorder="1" applyAlignment="1">
      <alignment horizontal="center" vertical="center"/>
    </xf>
    <xf numFmtId="176" fontId="1" fillId="12" borderId="17" xfId="0" applyNumberFormat="1" applyFont="1" applyFill="1" applyBorder="1" applyAlignment="1">
      <alignment horizontal="center" vertical="center"/>
    </xf>
    <xf numFmtId="176" fontId="1" fillId="12" borderId="14" xfId="0" applyNumberFormat="1" applyFont="1" applyFill="1" applyBorder="1" applyAlignment="1">
      <alignment horizontal="center" vertical="center"/>
    </xf>
    <xf numFmtId="177" fontId="1" fillId="12" borderId="17" xfId="0" applyNumberFormat="1" applyFont="1" applyFill="1" applyBorder="1" applyAlignment="1">
      <alignment horizontal="center" vertical="center"/>
    </xf>
    <xf numFmtId="177" fontId="1" fillId="12" borderId="14" xfId="0" applyNumberFormat="1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176" fontId="1" fillId="12" borderId="12" xfId="0" applyNumberFormat="1" applyFont="1" applyFill="1" applyBorder="1" applyAlignment="1">
      <alignment horizontal="center" vertical="center"/>
    </xf>
    <xf numFmtId="179" fontId="1" fillId="12" borderId="15" xfId="0" applyNumberFormat="1" applyFont="1" applyFill="1" applyBorder="1" applyAlignment="1">
      <alignment horizontal="center" vertical="center"/>
    </xf>
    <xf numFmtId="0" fontId="1" fillId="7" borderId="15" xfId="0" applyNumberFormat="1" applyFont="1" applyFill="1" applyBorder="1" applyAlignment="1">
      <alignment horizontal="center" vertical="center"/>
    </xf>
    <xf numFmtId="0" fontId="1" fillId="0" borderId="20" xfId="0" applyNumberFormat="1" applyFont="1" applyBorder="1" applyAlignment="1">
      <alignment horizontal="center" vertical="center"/>
    </xf>
    <xf numFmtId="0" fontId="1" fillId="0" borderId="11" xfId="0" applyNumberFormat="1" applyFont="1" applyBorder="1" applyAlignment="1">
      <alignment horizontal="center" vertical="center"/>
    </xf>
    <xf numFmtId="0" fontId="1" fillId="10" borderId="12" xfId="0" applyNumberFormat="1" applyFont="1" applyFill="1" applyBorder="1" applyAlignment="1">
      <alignment horizontal="center" vertical="center"/>
    </xf>
    <xf numFmtId="179" fontId="1" fillId="10" borderId="0" xfId="0" applyNumberFormat="1" applyFont="1" applyFill="1" applyBorder="1" applyAlignment="1">
      <alignment horizontal="center" vertical="center"/>
    </xf>
    <xf numFmtId="179" fontId="1" fillId="10" borderId="18" xfId="0" applyNumberFormat="1" applyFont="1" applyFill="1" applyBorder="1" applyAlignment="1">
      <alignment horizontal="center" vertical="center"/>
    </xf>
    <xf numFmtId="0" fontId="4" fillId="12" borderId="12" xfId="0" applyNumberFormat="1" applyFont="1" applyFill="1" applyBorder="1" applyAlignment="1">
      <alignment horizontal="center" vertical="center"/>
    </xf>
    <xf numFmtId="176" fontId="4" fillId="12" borderId="10" xfId="0" applyNumberFormat="1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0" xfId="0" applyNumberFormat="1" applyFont="1" applyBorder="1" applyAlignment="1">
      <alignment horizontal="center" vertical="center"/>
    </xf>
    <xf numFmtId="0" fontId="1" fillId="0" borderId="11" xfId="0" applyNumberFormat="1" applyFont="1" applyBorder="1" applyAlignment="1">
      <alignment horizontal="center" vertical="center"/>
    </xf>
    <xf numFmtId="0" fontId="1" fillId="2" borderId="11" xfId="0" applyNumberFormat="1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76" fontId="1" fillId="6" borderId="17" xfId="0" applyNumberFormat="1" applyFont="1" applyFill="1" applyBorder="1" applyAlignment="1">
      <alignment horizontal="center" vertical="center"/>
    </xf>
    <xf numFmtId="176" fontId="1" fillId="6" borderId="0" xfId="0" applyNumberFormat="1" applyFont="1" applyFill="1" applyBorder="1" applyAlignment="1">
      <alignment horizontal="center" vertical="center"/>
    </xf>
    <xf numFmtId="177" fontId="1" fillId="7" borderId="0" xfId="0" applyNumberFormat="1" applyFont="1" applyFill="1" applyBorder="1" applyAlignment="1">
      <alignment horizontal="center" vertical="center"/>
    </xf>
    <xf numFmtId="176" fontId="1" fillId="2" borderId="18" xfId="0" applyNumberFormat="1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177" fontId="1" fillId="7" borderId="10" xfId="0" applyNumberFormat="1" applyFont="1" applyFill="1" applyBorder="1" applyAlignment="1">
      <alignment horizontal="center" vertical="center"/>
    </xf>
    <xf numFmtId="177" fontId="1" fillId="2" borderId="10" xfId="0" applyNumberFormat="1" applyFont="1" applyFill="1" applyBorder="1" applyAlignment="1">
      <alignment horizontal="center" vertical="center"/>
    </xf>
    <xf numFmtId="177" fontId="1" fillId="0" borderId="10" xfId="0" applyNumberFormat="1" applyFont="1" applyBorder="1" applyAlignment="1">
      <alignment horizontal="center" vertical="center"/>
    </xf>
    <xf numFmtId="177" fontId="1" fillId="2" borderId="9" xfId="0" applyNumberFormat="1" applyFont="1" applyFill="1" applyBorder="1" applyAlignment="1">
      <alignment horizontal="center" vertical="center"/>
    </xf>
    <xf numFmtId="177" fontId="1" fillId="0" borderId="17" xfId="0" applyNumberFormat="1" applyFont="1" applyBorder="1" applyAlignment="1">
      <alignment horizontal="center" vertical="center"/>
    </xf>
    <xf numFmtId="177" fontId="1" fillId="5" borderId="18" xfId="0" applyNumberFormat="1" applyFont="1" applyFill="1" applyBorder="1" applyAlignment="1">
      <alignment horizontal="center" vertical="center"/>
    </xf>
    <xf numFmtId="0" fontId="1" fillId="13" borderId="12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177" fontId="1" fillId="7" borderId="8" xfId="0" applyNumberFormat="1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2" borderId="17" xfId="0" applyNumberFormat="1" applyFont="1" applyFill="1" applyBorder="1" applyAlignment="1">
      <alignment horizontal="center" vertical="center"/>
    </xf>
    <xf numFmtId="0" fontId="3" fillId="2" borderId="17" xfId="0" applyNumberFormat="1" applyFont="1" applyFill="1" applyBorder="1" applyAlignment="1">
      <alignment horizontal="center" vertical="center"/>
    </xf>
    <xf numFmtId="0" fontId="1" fillId="2" borderId="14" xfId="0" applyNumberFormat="1" applyFont="1" applyFill="1" applyBorder="1" applyAlignment="1">
      <alignment horizontal="center" vertical="center"/>
    </xf>
    <xf numFmtId="0" fontId="1" fillId="0" borderId="17" xfId="0" applyNumberFormat="1" applyFont="1" applyBorder="1" applyAlignment="1">
      <alignment horizontal="center" vertical="center"/>
    </xf>
    <xf numFmtId="0" fontId="1" fillId="6" borderId="0" xfId="0" applyNumberFormat="1" applyFont="1" applyFill="1" applyBorder="1" applyAlignment="1">
      <alignment horizontal="center" vertical="center"/>
    </xf>
    <xf numFmtId="0" fontId="1" fillId="10" borderId="0" xfId="0" applyNumberFormat="1" applyFont="1" applyFill="1" applyBorder="1" applyAlignment="1">
      <alignment horizontal="center" vertical="center"/>
    </xf>
    <xf numFmtId="0" fontId="1" fillId="10" borderId="17" xfId="0" applyFont="1" applyFill="1" applyBorder="1" applyAlignment="1">
      <alignment horizontal="center" vertical="center"/>
    </xf>
    <xf numFmtId="178" fontId="1" fillId="0" borderId="14" xfId="0" applyNumberFormat="1" applyFont="1" applyBorder="1" applyAlignment="1">
      <alignment horizontal="center" vertical="center"/>
    </xf>
    <xf numFmtId="179" fontId="1" fillId="0" borderId="14" xfId="0" applyNumberFormat="1" applyFont="1" applyBorder="1" applyAlignment="1">
      <alignment horizontal="center" vertical="center"/>
    </xf>
    <xf numFmtId="177" fontId="1" fillId="10" borderId="14" xfId="0" applyNumberFormat="1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2" fontId="1" fillId="2" borderId="0" xfId="0" applyNumberFormat="1" applyFont="1" applyFill="1" applyBorder="1" applyAlignment="1">
      <alignment horizontal="center" vertical="center"/>
    </xf>
    <xf numFmtId="0" fontId="1" fillId="0" borderId="18" xfId="0" applyNumberFormat="1" applyFont="1" applyBorder="1" applyAlignment="1">
      <alignment horizontal="center" vertical="center"/>
    </xf>
    <xf numFmtId="12" fontId="1" fillId="12" borderId="0" xfId="0" applyNumberFormat="1" applyFont="1" applyFill="1" applyBorder="1" applyAlignment="1">
      <alignment horizontal="center" vertical="center"/>
    </xf>
    <xf numFmtId="12" fontId="1" fillId="5" borderId="0" xfId="0" applyNumberFormat="1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8" borderId="18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 vertical="center"/>
    </xf>
    <xf numFmtId="0" fontId="1" fillId="0" borderId="14" xfId="0" applyNumberFormat="1" applyFont="1" applyBorder="1" applyAlignment="1">
      <alignment horizontal="center" vertical="center"/>
    </xf>
    <xf numFmtId="0" fontId="1" fillId="2" borderId="8" xfId="0" applyNumberFormat="1" applyFont="1" applyFill="1" applyBorder="1" applyAlignment="1">
      <alignment horizontal="center" vertical="center"/>
    </xf>
    <xf numFmtId="0" fontId="1" fillId="2" borderId="14" xfId="0" applyNumberFormat="1" applyFont="1" applyFill="1" applyBorder="1" applyAlignment="1">
      <alignment horizontal="center" vertical="center"/>
    </xf>
    <xf numFmtId="0" fontId="3" fillId="2" borderId="8" xfId="0" applyNumberFormat="1" applyFont="1" applyFill="1" applyBorder="1" applyAlignment="1">
      <alignment horizontal="center" vertical="center"/>
    </xf>
    <xf numFmtId="0" fontId="3" fillId="2" borderId="14" xfId="0" applyNumberFormat="1" applyFont="1" applyFill="1" applyBorder="1" applyAlignment="1">
      <alignment horizontal="center" vertical="center"/>
    </xf>
    <xf numFmtId="0" fontId="1" fillId="0" borderId="17" xfId="0" applyNumberFormat="1" applyFont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 vertical="center" wrapText="1"/>
    </xf>
    <xf numFmtId="0" fontId="1" fillId="0" borderId="14" xfId="0" applyNumberFormat="1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2" fontId="1" fillId="0" borderId="11" xfId="0" applyNumberFormat="1" applyFont="1" applyBorder="1" applyAlignment="1">
      <alignment horizontal="center" vertical="center"/>
    </xf>
    <xf numFmtId="177" fontId="1" fillId="0" borderId="11" xfId="0" applyNumberFormat="1" applyFont="1" applyBorder="1" applyAlignment="1">
      <alignment horizontal="center" vertical="center"/>
    </xf>
    <xf numFmtId="179" fontId="1" fillId="0" borderId="11" xfId="0" applyNumberFormat="1" applyFont="1" applyBorder="1" applyAlignment="1">
      <alignment horizontal="center" vertical="center"/>
    </xf>
    <xf numFmtId="0" fontId="0" fillId="0" borderId="12" xfId="0" applyBorder="1">
      <alignment vertical="center"/>
    </xf>
    <xf numFmtId="0" fontId="1" fillId="0" borderId="9" xfId="0" applyNumberFormat="1" applyFont="1" applyBorder="1" applyAlignment="1">
      <alignment horizontal="center" vertical="center"/>
    </xf>
    <xf numFmtId="0" fontId="1" fillId="0" borderId="18" xfId="0" applyNumberFormat="1" applyFont="1" applyBorder="1" applyAlignment="1">
      <alignment horizontal="center" vertical="center" wrapText="1"/>
    </xf>
    <xf numFmtId="0" fontId="1" fillId="0" borderId="16" xfId="0" applyNumberFormat="1" applyFont="1" applyBorder="1" applyAlignment="1">
      <alignment horizontal="center" vertical="center"/>
    </xf>
  </cellXfs>
  <cellStyles count="1">
    <cellStyle name="표준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K116"/>
  <sheetViews>
    <sheetView tabSelected="1" topLeftCell="BC34" zoomScale="55" zoomScaleNormal="55" workbookViewId="0">
      <selection activeCell="BY41" sqref="BY41"/>
    </sheetView>
  </sheetViews>
  <sheetFormatPr defaultRowHeight="16.5" x14ac:dyDescent="0.3"/>
  <cols>
    <col min="1" max="3" width="9" style="4"/>
    <col min="4" max="5" width="9.375" style="4" bestFit="1" customWidth="1"/>
    <col min="6" max="19" width="9" style="4"/>
    <col min="20" max="20" width="9" style="4" customWidth="1"/>
    <col min="21" max="21" width="9" style="215" customWidth="1"/>
    <col min="22" max="47" width="9" style="4"/>
    <col min="48" max="48" width="9" style="215"/>
    <col min="49" max="77" width="9" style="4"/>
    <col min="78" max="78" width="9.75" style="4" bestFit="1" customWidth="1"/>
    <col min="79" max="83" width="9" style="4"/>
    <col min="84" max="84" width="9.75" style="4" bestFit="1" customWidth="1"/>
    <col min="85" max="85" width="9" style="4"/>
    <col min="86" max="86" width="9.75" style="4" bestFit="1" customWidth="1"/>
    <col min="87" max="87" width="9" style="4" customWidth="1"/>
    <col min="88" max="88" width="9" style="4"/>
    <col min="89" max="89" width="9.125" style="4" bestFit="1" customWidth="1"/>
    <col min="90" max="90" width="9.875" style="4" bestFit="1" customWidth="1"/>
    <col min="91" max="91" width="9.625" style="4" bestFit="1" customWidth="1"/>
    <col min="92" max="92" width="9.5" style="4" bestFit="1" customWidth="1"/>
    <col min="93" max="111" width="9" style="4"/>
    <col min="112" max="113" width="9" style="4" customWidth="1"/>
    <col min="114" max="16384" width="9" style="4"/>
  </cols>
  <sheetData>
    <row r="1" spans="1:142" ht="17.25" thickBot="1" x14ac:dyDescent="0.35">
      <c r="C1" s="431" t="s">
        <v>75</v>
      </c>
      <c r="D1" s="431"/>
      <c r="E1" s="431"/>
      <c r="F1" s="431"/>
      <c r="G1" s="431"/>
      <c r="H1" s="431"/>
      <c r="I1" s="431"/>
      <c r="J1" s="431"/>
      <c r="K1" s="431"/>
      <c r="L1" s="431"/>
      <c r="M1" s="431"/>
      <c r="N1" s="431"/>
      <c r="O1" s="431"/>
      <c r="P1" s="431"/>
      <c r="Q1" s="431"/>
      <c r="R1" s="431"/>
      <c r="S1" s="431"/>
      <c r="T1" s="431"/>
      <c r="U1" s="431"/>
      <c r="V1" s="431"/>
      <c r="W1" s="431"/>
      <c r="X1" s="431"/>
      <c r="Y1" s="431"/>
      <c r="Z1" s="431"/>
      <c r="AA1" s="431"/>
      <c r="AB1" s="431"/>
      <c r="AC1" s="431" t="s">
        <v>116</v>
      </c>
      <c r="AD1" s="431"/>
      <c r="AE1" s="431"/>
      <c r="AF1" s="431"/>
      <c r="AG1" s="431"/>
      <c r="AH1" s="431"/>
      <c r="AI1" s="431"/>
      <c r="AJ1" s="431"/>
      <c r="AK1" s="431"/>
      <c r="AL1" s="431"/>
      <c r="AM1" s="431"/>
      <c r="AN1" s="431"/>
      <c r="AO1" s="431"/>
      <c r="AP1" s="431"/>
      <c r="AQ1" s="431"/>
      <c r="AR1" s="431"/>
      <c r="AS1" s="431"/>
      <c r="AT1" s="431"/>
      <c r="AU1" s="431"/>
      <c r="AV1" s="431"/>
      <c r="AW1" s="431"/>
      <c r="AX1" s="431"/>
      <c r="AY1" s="431"/>
      <c r="AZ1" s="431"/>
      <c r="BA1" s="431"/>
      <c r="BB1" s="431"/>
      <c r="BE1" s="431" t="s">
        <v>370</v>
      </c>
      <c r="BF1" s="431"/>
      <c r="BG1" s="431"/>
      <c r="BH1" s="431"/>
      <c r="BI1" s="431"/>
      <c r="BJ1" s="431"/>
      <c r="BK1" s="431"/>
      <c r="BL1" s="431"/>
      <c r="BM1" s="431"/>
      <c r="BN1" s="431"/>
      <c r="BO1" s="431"/>
      <c r="BP1" s="431"/>
      <c r="BQ1" s="431"/>
      <c r="BR1" s="431"/>
      <c r="BS1" s="431"/>
      <c r="BT1" s="431"/>
      <c r="BU1" s="431"/>
      <c r="BV1" s="431"/>
      <c r="BW1" s="431"/>
      <c r="BX1" s="431"/>
      <c r="BY1" s="431"/>
      <c r="BZ1" s="431"/>
      <c r="CA1" s="431"/>
      <c r="CB1" s="431"/>
      <c r="CC1" s="431"/>
      <c r="CD1" s="431"/>
      <c r="CH1" s="431" t="s">
        <v>371</v>
      </c>
      <c r="CI1" s="431"/>
      <c r="CJ1" s="431"/>
      <c r="CK1" s="431"/>
      <c r="CL1" s="431"/>
      <c r="CM1" s="431"/>
      <c r="CN1" s="431"/>
      <c r="CO1" s="431"/>
      <c r="CP1" s="431"/>
      <c r="CQ1" s="431"/>
      <c r="CR1" s="431"/>
      <c r="CS1" s="431"/>
      <c r="CT1" s="431"/>
      <c r="CU1" s="431"/>
      <c r="CV1" s="431"/>
      <c r="CW1" s="431"/>
      <c r="CX1" s="431"/>
      <c r="CY1" s="431"/>
      <c r="CZ1" s="431"/>
      <c r="DA1" s="431"/>
      <c r="DB1" s="431"/>
      <c r="DC1" s="431"/>
      <c r="DD1" s="431"/>
      <c r="DE1" s="431"/>
      <c r="DF1" s="431"/>
      <c r="DG1" s="431"/>
      <c r="DH1" s="431"/>
      <c r="DK1" s="440" t="s">
        <v>607</v>
      </c>
      <c r="DL1" s="440"/>
      <c r="DM1" s="440"/>
      <c r="DN1" s="440"/>
      <c r="DO1" s="440"/>
      <c r="DP1" s="440"/>
      <c r="DQ1" s="440"/>
      <c r="DR1" s="440"/>
      <c r="DS1" s="440"/>
      <c r="DT1" s="440"/>
      <c r="DU1" s="440"/>
      <c r="DV1" s="440"/>
      <c r="DW1" s="440"/>
      <c r="DX1" s="440"/>
      <c r="DY1" s="440"/>
      <c r="DZ1" s="440"/>
      <c r="EA1" s="440"/>
      <c r="EB1" s="440"/>
      <c r="EC1" s="440"/>
      <c r="ED1" s="440"/>
      <c r="EE1" s="440"/>
      <c r="EF1" s="440"/>
      <c r="EG1" s="440"/>
      <c r="EH1" s="440"/>
      <c r="EI1" s="440"/>
      <c r="EJ1" s="440"/>
      <c r="EK1" s="440"/>
      <c r="EL1" s="440"/>
    </row>
    <row r="2" spans="1:142" ht="17.25" thickBot="1" x14ac:dyDescent="0.35">
      <c r="A2" s="48" t="s">
        <v>11</v>
      </c>
      <c r="B2" s="107" t="s">
        <v>12</v>
      </c>
      <c r="C2" s="106" t="s">
        <v>13</v>
      </c>
      <c r="D2" s="105" t="s">
        <v>14</v>
      </c>
      <c r="E2" s="105" t="s">
        <v>15</v>
      </c>
      <c r="F2" s="105" t="s">
        <v>16</v>
      </c>
      <c r="G2" s="105" t="s">
        <v>17</v>
      </c>
      <c r="H2" s="17" t="s">
        <v>18</v>
      </c>
      <c r="I2" s="105" t="s">
        <v>19</v>
      </c>
      <c r="J2" s="105" t="s">
        <v>20</v>
      </c>
      <c r="K2" s="105" t="s">
        <v>21</v>
      </c>
      <c r="L2" s="105" t="s">
        <v>22</v>
      </c>
      <c r="M2" s="105" t="s">
        <v>23</v>
      </c>
      <c r="N2" s="105" t="s">
        <v>24</v>
      </c>
      <c r="O2" s="105" t="s">
        <v>25</v>
      </c>
      <c r="P2" s="105" t="s">
        <v>26</v>
      </c>
      <c r="Q2" s="105" t="s">
        <v>27</v>
      </c>
      <c r="R2" s="105" t="s">
        <v>28</v>
      </c>
      <c r="S2" s="105" t="s">
        <v>29</v>
      </c>
      <c r="T2" s="105" t="s">
        <v>30</v>
      </c>
      <c r="U2" s="214" t="s">
        <v>328</v>
      </c>
      <c r="V2" s="105" t="s">
        <v>31</v>
      </c>
      <c r="W2" s="106" t="s">
        <v>32</v>
      </c>
      <c r="X2" s="2" t="s">
        <v>33</v>
      </c>
      <c r="Y2" s="79" t="s">
        <v>34</v>
      </c>
      <c r="Z2" s="79" t="s">
        <v>35</v>
      </c>
      <c r="AA2" s="79"/>
      <c r="AB2" s="6"/>
      <c r="AD2" s="35" t="s">
        <v>76</v>
      </c>
      <c r="AE2" s="36" t="s">
        <v>78</v>
      </c>
      <c r="AF2" s="36" t="s">
        <v>79</v>
      </c>
      <c r="AG2" s="12" t="s">
        <v>80</v>
      </c>
      <c r="AH2" s="12" t="s">
        <v>81</v>
      </c>
      <c r="AI2" s="12" t="s">
        <v>82</v>
      </c>
      <c r="AJ2" s="12" t="s">
        <v>83</v>
      </c>
      <c r="AK2" s="12" t="s">
        <v>84</v>
      </c>
      <c r="AL2" s="12" t="s">
        <v>85</v>
      </c>
      <c r="AM2" s="12" t="s">
        <v>86</v>
      </c>
      <c r="AN2" s="12" t="s">
        <v>87</v>
      </c>
      <c r="AO2" s="12" t="s">
        <v>88</v>
      </c>
      <c r="AP2" s="12" t="s">
        <v>89</v>
      </c>
      <c r="AQ2" s="12" t="s">
        <v>90</v>
      </c>
      <c r="AR2" s="37" t="s">
        <v>91</v>
      </c>
      <c r="AS2" s="37" t="s">
        <v>92</v>
      </c>
      <c r="AT2" s="12" t="s">
        <v>93</v>
      </c>
      <c r="AU2" s="12" t="s">
        <v>94</v>
      </c>
      <c r="AV2" s="12" t="s">
        <v>329</v>
      </c>
      <c r="AW2" s="12" t="s">
        <v>95</v>
      </c>
      <c r="AX2" s="38" t="s">
        <v>96</v>
      </c>
      <c r="AY2" s="29" t="s">
        <v>97</v>
      </c>
      <c r="AZ2" s="16" t="s">
        <v>98</v>
      </c>
      <c r="BA2" s="16" t="s">
        <v>99</v>
      </c>
      <c r="BB2" s="30" t="s">
        <v>100</v>
      </c>
      <c r="BC2" s="6"/>
      <c r="BE2" s="171" t="s">
        <v>256</v>
      </c>
      <c r="BF2" s="170"/>
      <c r="BG2" s="172" t="s">
        <v>257</v>
      </c>
      <c r="BH2" s="206" t="s">
        <v>258</v>
      </c>
      <c r="BI2" s="208" t="s">
        <v>15</v>
      </c>
      <c r="BJ2" s="208" t="s">
        <v>16</v>
      </c>
      <c r="BK2" s="240" t="s">
        <v>259</v>
      </c>
      <c r="BL2" s="208" t="s">
        <v>18</v>
      </c>
      <c r="BM2" s="208" t="s">
        <v>260</v>
      </c>
      <c r="BN2" s="208" t="s">
        <v>261</v>
      </c>
      <c r="BO2" s="208" t="s">
        <v>262</v>
      </c>
      <c r="BP2" s="240" t="s">
        <v>22</v>
      </c>
      <c r="BQ2" s="208" t="s">
        <v>263</v>
      </c>
      <c r="BR2" s="208" t="s">
        <v>264</v>
      </c>
      <c r="BS2" s="208" t="s">
        <v>265</v>
      </c>
      <c r="BT2" s="208" t="s">
        <v>266</v>
      </c>
      <c r="BU2" s="185" t="s">
        <v>27</v>
      </c>
      <c r="BV2" s="185" t="s">
        <v>28</v>
      </c>
      <c r="BW2" s="208" t="s">
        <v>267</v>
      </c>
      <c r="BX2" s="208" t="s">
        <v>268</v>
      </c>
      <c r="BY2" s="236" t="s">
        <v>327</v>
      </c>
      <c r="BZ2" s="208" t="s">
        <v>269</v>
      </c>
      <c r="CA2" s="207" t="s">
        <v>270</v>
      </c>
      <c r="CB2" s="171" t="s">
        <v>271</v>
      </c>
      <c r="CC2" s="185" t="s">
        <v>272</v>
      </c>
      <c r="CD2" s="185" t="s">
        <v>273</v>
      </c>
      <c r="CE2" s="172" t="s">
        <v>274</v>
      </c>
      <c r="CH2" s="80" t="s">
        <v>125</v>
      </c>
      <c r="CI2" s="261"/>
      <c r="CJ2" s="261" t="s">
        <v>12</v>
      </c>
      <c r="CK2" s="262" t="s">
        <v>258</v>
      </c>
      <c r="CL2" s="262" t="s">
        <v>15</v>
      </c>
      <c r="CM2" s="262" t="s">
        <v>16</v>
      </c>
      <c r="CN2" s="240" t="s">
        <v>81</v>
      </c>
      <c r="CO2" s="262" t="s">
        <v>18</v>
      </c>
      <c r="CP2" s="262" t="s">
        <v>19</v>
      </c>
      <c r="CQ2" s="262" t="s">
        <v>261</v>
      </c>
      <c r="CR2" s="262" t="s">
        <v>85</v>
      </c>
      <c r="CS2" s="240" t="s">
        <v>22</v>
      </c>
      <c r="CT2" s="262" t="s">
        <v>23</v>
      </c>
      <c r="CU2" s="262" t="s">
        <v>264</v>
      </c>
      <c r="CV2" s="262" t="s">
        <v>89</v>
      </c>
      <c r="CW2" s="262" t="s">
        <v>266</v>
      </c>
      <c r="CX2" s="185" t="s">
        <v>27</v>
      </c>
      <c r="CY2" s="185" t="s">
        <v>28</v>
      </c>
      <c r="CZ2" s="262" t="s">
        <v>29</v>
      </c>
      <c r="DA2" s="262" t="s">
        <v>139</v>
      </c>
      <c r="DB2" s="236" t="s">
        <v>123</v>
      </c>
      <c r="DC2" s="262" t="s">
        <v>95</v>
      </c>
      <c r="DD2" s="262" t="s">
        <v>270</v>
      </c>
      <c r="DE2" s="260" t="s">
        <v>33</v>
      </c>
      <c r="DF2" s="185" t="s">
        <v>34</v>
      </c>
      <c r="DG2" s="185" t="s">
        <v>35</v>
      </c>
      <c r="DH2" s="261" t="s">
        <v>274</v>
      </c>
      <c r="DI2" s="256"/>
      <c r="DK2" s="80" t="s">
        <v>125</v>
      </c>
      <c r="DL2" s="360"/>
      <c r="DM2" s="360" t="s">
        <v>12</v>
      </c>
      <c r="DN2" s="361" t="s">
        <v>78</v>
      </c>
      <c r="DO2" s="361" t="s">
        <v>15</v>
      </c>
      <c r="DP2" s="361" t="s">
        <v>16</v>
      </c>
      <c r="DQ2" s="240" t="s">
        <v>81</v>
      </c>
      <c r="DR2" s="361" t="s">
        <v>18</v>
      </c>
      <c r="DS2" s="361" t="s">
        <v>19</v>
      </c>
      <c r="DT2" s="361" t="s">
        <v>261</v>
      </c>
      <c r="DU2" s="361" t="s">
        <v>85</v>
      </c>
      <c r="DV2" s="240" t="s">
        <v>22</v>
      </c>
      <c r="DW2" s="361" t="s">
        <v>23</v>
      </c>
      <c r="DX2" s="361" t="s">
        <v>264</v>
      </c>
      <c r="DY2" s="361" t="s">
        <v>89</v>
      </c>
      <c r="DZ2" s="361" t="s">
        <v>266</v>
      </c>
      <c r="EA2" s="185" t="s">
        <v>27</v>
      </c>
      <c r="EB2" s="185" t="s">
        <v>28</v>
      </c>
      <c r="EC2" s="361" t="s">
        <v>29</v>
      </c>
      <c r="ED2" s="361" t="s">
        <v>94</v>
      </c>
      <c r="EE2" s="236" t="s">
        <v>123</v>
      </c>
      <c r="EF2" s="361" t="s">
        <v>95</v>
      </c>
      <c r="EG2" s="361" t="s">
        <v>96</v>
      </c>
      <c r="EH2" s="359" t="s">
        <v>33</v>
      </c>
      <c r="EI2" s="185" t="s">
        <v>34</v>
      </c>
      <c r="EJ2" s="185" t="s">
        <v>35</v>
      </c>
      <c r="EK2" s="360" t="s">
        <v>36</v>
      </c>
      <c r="EL2" s="290"/>
    </row>
    <row r="3" spans="1:142" x14ac:dyDescent="0.3">
      <c r="A3" s="5"/>
      <c r="B3" s="1"/>
      <c r="C3" s="9"/>
      <c r="X3" s="50"/>
      <c r="Y3" s="51"/>
      <c r="Z3" s="51"/>
      <c r="AA3" s="52"/>
      <c r="AB3" s="6"/>
      <c r="AD3" s="35" t="s">
        <v>101</v>
      </c>
      <c r="AE3" s="139">
        <v>2</v>
      </c>
      <c r="AF3" s="42">
        <v>5</v>
      </c>
      <c r="AG3" s="42">
        <v>4</v>
      </c>
      <c r="AH3" s="42">
        <v>1</v>
      </c>
      <c r="AI3" s="43">
        <v>1</v>
      </c>
      <c r="AJ3" s="43">
        <v>0</v>
      </c>
      <c r="AK3" s="43">
        <v>0</v>
      </c>
      <c r="AL3" s="42">
        <v>0</v>
      </c>
      <c r="AM3" s="43">
        <v>1</v>
      </c>
      <c r="AN3" s="43">
        <v>0</v>
      </c>
      <c r="AO3" s="43">
        <v>1</v>
      </c>
      <c r="AP3" s="43">
        <v>0</v>
      </c>
      <c r="AQ3" s="42">
        <v>0</v>
      </c>
      <c r="AR3" s="42">
        <v>0</v>
      </c>
      <c r="AS3" s="42">
        <v>0</v>
      </c>
      <c r="AT3" s="43">
        <v>0</v>
      </c>
      <c r="AU3" s="42">
        <v>1</v>
      </c>
      <c r="AV3" s="42">
        <f>AT3+AU3</f>
        <v>1</v>
      </c>
      <c r="AW3" s="42">
        <v>2</v>
      </c>
      <c r="AX3" s="44">
        <v>0</v>
      </c>
      <c r="AY3" s="50">
        <v>0.25</v>
      </c>
      <c r="AZ3" s="51">
        <v>0.4</v>
      </c>
      <c r="BA3" s="51">
        <v>0.25</v>
      </c>
      <c r="BB3" s="51">
        <v>0.65</v>
      </c>
      <c r="BC3" s="6" t="s">
        <v>302</v>
      </c>
      <c r="BE3" s="6" t="s">
        <v>291</v>
      </c>
      <c r="BF3" s="173" t="s">
        <v>292</v>
      </c>
      <c r="BG3" s="9">
        <v>10</v>
      </c>
      <c r="BH3" s="2">
        <v>4</v>
      </c>
      <c r="BI3" s="79">
        <v>11</v>
      </c>
      <c r="BJ3" s="79">
        <v>8</v>
      </c>
      <c r="BK3" s="241">
        <f>BL3+BM3+BN3+BO3</f>
        <v>3</v>
      </c>
      <c r="BL3" s="79">
        <v>3</v>
      </c>
      <c r="BM3" s="79">
        <v>0</v>
      </c>
      <c r="BN3" s="79">
        <v>0</v>
      </c>
      <c r="BO3" s="79">
        <v>0</v>
      </c>
      <c r="BP3" s="241">
        <f>BL3*1+BM3*2+BN3*3+BO3*4</f>
        <v>3</v>
      </c>
      <c r="BQ3" s="79">
        <v>4</v>
      </c>
      <c r="BR3" s="79">
        <v>5</v>
      </c>
      <c r="BS3" s="79">
        <v>1</v>
      </c>
      <c r="BT3" s="79">
        <v>0</v>
      </c>
      <c r="BU3" s="79">
        <v>0</v>
      </c>
      <c r="BV3" s="79">
        <v>0</v>
      </c>
      <c r="BW3" s="79">
        <v>2</v>
      </c>
      <c r="BX3" s="79">
        <v>1</v>
      </c>
      <c r="BY3" s="237">
        <f>BW3+BX3</f>
        <v>3</v>
      </c>
      <c r="BZ3" s="79">
        <v>4</v>
      </c>
      <c r="CA3" s="8">
        <v>1</v>
      </c>
      <c r="CB3" s="19">
        <f>BK3/BJ3</f>
        <v>0.375</v>
      </c>
      <c r="CC3" s="20">
        <f>(BK3+BW3+BX3)/(BJ3+BW3+BX3+BV3+BU3)</f>
        <v>0.54545454545454541</v>
      </c>
      <c r="CD3" s="20">
        <f>((BL3*1)+(BM3*2)+(BN3*3)+(BO3*4))/BJ3</f>
        <v>0.375</v>
      </c>
      <c r="CE3" s="21">
        <f>CC3+CD3</f>
        <v>0.92045454545454541</v>
      </c>
      <c r="CF3" s="6" t="s">
        <v>101</v>
      </c>
      <c r="CH3" s="1" t="s">
        <v>291</v>
      </c>
      <c r="CI3" s="259" t="s">
        <v>252</v>
      </c>
      <c r="CJ3" s="9">
        <v>10</v>
      </c>
      <c r="CK3" s="2">
        <v>5</v>
      </c>
      <c r="CL3" s="79">
        <v>9</v>
      </c>
      <c r="CM3" s="79">
        <v>7</v>
      </c>
      <c r="CN3" s="79">
        <f>CO3+CP3+CQ3+CR3</f>
        <v>0</v>
      </c>
      <c r="CO3" s="79">
        <v>0</v>
      </c>
      <c r="CP3" s="79">
        <v>0</v>
      </c>
      <c r="CQ3" s="79">
        <v>0</v>
      </c>
      <c r="CR3" s="79">
        <v>0</v>
      </c>
      <c r="CS3" s="79">
        <f>CO3*1+CP3*2+CQ3*3+CR3*4</f>
        <v>0</v>
      </c>
      <c r="CT3" s="79">
        <v>1</v>
      </c>
      <c r="CU3" s="79">
        <v>1</v>
      </c>
      <c r="CV3" s="79">
        <v>0</v>
      </c>
      <c r="CW3" s="79">
        <v>0</v>
      </c>
      <c r="CX3" s="79">
        <v>0</v>
      </c>
      <c r="CY3" s="79">
        <v>0</v>
      </c>
      <c r="CZ3" s="79">
        <v>2</v>
      </c>
      <c r="DA3" s="79">
        <v>0</v>
      </c>
      <c r="DB3" s="79">
        <f>CZ3+DA3</f>
        <v>2</v>
      </c>
      <c r="DC3" s="79">
        <v>5</v>
      </c>
      <c r="DD3" s="8">
        <v>0</v>
      </c>
      <c r="DE3" s="19">
        <f>CN3/CM3</f>
        <v>0</v>
      </c>
      <c r="DF3" s="20">
        <f>(CN3+CZ3+DA3)/(CM3+CZ3+DA3+CY3+CX3)</f>
        <v>0.22222222222222221</v>
      </c>
      <c r="DG3" s="20">
        <f>((CO3*1)+(CP3*2)+(CQ3*3)+(CR3*4))/CM3</f>
        <v>0</v>
      </c>
      <c r="DH3" s="21">
        <f>DF3+DG3</f>
        <v>0.22222222222222221</v>
      </c>
      <c r="DI3" s="258" t="s">
        <v>101</v>
      </c>
      <c r="DK3" s="1"/>
      <c r="DL3" s="358"/>
      <c r="DM3" s="9"/>
      <c r="DN3" s="355"/>
      <c r="DO3" s="357"/>
      <c r="DP3" s="357"/>
      <c r="DQ3" s="357"/>
      <c r="DR3" s="357"/>
      <c r="DS3" s="357"/>
      <c r="DT3" s="357"/>
      <c r="DU3" s="357"/>
      <c r="DV3" s="357"/>
      <c r="DW3" s="357"/>
      <c r="DX3" s="357"/>
      <c r="DY3" s="357"/>
      <c r="DZ3" s="357"/>
      <c r="EA3" s="357"/>
      <c r="EB3" s="357"/>
      <c r="EC3" s="357"/>
      <c r="ED3" s="357"/>
      <c r="EE3" s="357"/>
      <c r="EF3" s="357"/>
      <c r="EG3" s="356"/>
      <c r="EH3" s="19"/>
      <c r="EI3" s="20"/>
      <c r="EJ3" s="20"/>
      <c r="EK3" s="21"/>
      <c r="EL3" s="290"/>
    </row>
    <row r="4" spans="1:142" s="154" customFormat="1" x14ac:dyDescent="0.3">
      <c r="A4" s="5"/>
      <c r="B4" s="1"/>
      <c r="C4" s="9"/>
      <c r="U4" s="215"/>
      <c r="X4" s="19"/>
      <c r="Y4" s="20"/>
      <c r="Z4" s="20"/>
      <c r="AA4" s="21"/>
      <c r="AB4" s="5"/>
      <c r="AD4" s="98"/>
      <c r="AE4" s="174"/>
      <c r="AF4" s="175"/>
      <c r="AG4" s="175"/>
      <c r="AH4" s="175"/>
      <c r="AI4" s="176"/>
      <c r="AJ4" s="176"/>
      <c r="AK4" s="176"/>
      <c r="AL4" s="175"/>
      <c r="AM4" s="176"/>
      <c r="AN4" s="176"/>
      <c r="AO4" s="176"/>
      <c r="AP4" s="176"/>
      <c r="AQ4" s="175"/>
      <c r="AR4" s="175"/>
      <c r="AS4" s="175"/>
      <c r="AT4" s="176"/>
      <c r="AU4" s="175"/>
      <c r="AV4" s="39"/>
      <c r="AW4" s="175"/>
      <c r="AX4" s="177"/>
      <c r="AY4" s="19"/>
      <c r="AZ4" s="20"/>
      <c r="BA4" s="20"/>
      <c r="BB4" s="20"/>
      <c r="BC4" s="5"/>
      <c r="BE4" s="5" t="s">
        <v>310</v>
      </c>
      <c r="BF4" s="173" t="s">
        <v>318</v>
      </c>
      <c r="BG4" s="9"/>
      <c r="BH4" s="1">
        <v>12</v>
      </c>
      <c r="BI4" s="205">
        <v>37</v>
      </c>
      <c r="BJ4" s="205">
        <v>29</v>
      </c>
      <c r="BK4" s="242">
        <f>BL4+BM4+BN4+BO4</f>
        <v>11</v>
      </c>
      <c r="BL4" s="205">
        <v>4</v>
      </c>
      <c r="BM4" s="205">
        <v>4</v>
      </c>
      <c r="BN4" s="205">
        <v>3</v>
      </c>
      <c r="BO4" s="205">
        <v>0</v>
      </c>
      <c r="BP4" s="242">
        <f>BL4*1+BM4*2+BN4*3+BO4*4</f>
        <v>21</v>
      </c>
      <c r="BQ4" s="205">
        <v>13</v>
      </c>
      <c r="BR4" s="205">
        <v>11</v>
      </c>
      <c r="BS4" s="205">
        <v>0</v>
      </c>
      <c r="BT4" s="205">
        <v>0</v>
      </c>
      <c r="BU4" s="205">
        <v>0</v>
      </c>
      <c r="BV4" s="205">
        <v>1</v>
      </c>
      <c r="BW4" s="205">
        <v>4</v>
      </c>
      <c r="BX4" s="205">
        <v>3</v>
      </c>
      <c r="BY4" s="238">
        <f t="shared" ref="BY4:BY38" si="0">BW4+BX4</f>
        <v>7</v>
      </c>
      <c r="BZ4" s="205">
        <v>9</v>
      </c>
      <c r="CA4" s="9">
        <v>0</v>
      </c>
      <c r="CB4" s="19">
        <f>BK4/BJ4</f>
        <v>0.37931034482758619</v>
      </c>
      <c r="CC4" s="20">
        <f>(BK4+BW4+BX4)/(BJ4+BW4+BX4+BV4+BU4)</f>
        <v>0.48648648648648651</v>
      </c>
      <c r="CD4" s="20">
        <f>((BL4*1)+(BM4*2)+(BN4*3)+(BO4*4))/BJ4</f>
        <v>0.72413793103448276</v>
      </c>
      <c r="CE4" s="21">
        <f>CC4+CD4</f>
        <v>1.2106244175209693</v>
      </c>
      <c r="CF4" s="5" t="s">
        <v>310</v>
      </c>
      <c r="CH4" s="1" t="s">
        <v>310</v>
      </c>
      <c r="CI4" s="259" t="s">
        <v>252</v>
      </c>
      <c r="CJ4" s="9">
        <v>29</v>
      </c>
      <c r="CK4" s="1">
        <v>20</v>
      </c>
      <c r="CL4" s="259">
        <v>55</v>
      </c>
      <c r="CM4" s="259">
        <v>44</v>
      </c>
      <c r="CN4" s="259">
        <f>CO4+CP4+CQ4+CR4</f>
        <v>7</v>
      </c>
      <c r="CO4" s="259">
        <v>6</v>
      </c>
      <c r="CP4" s="259">
        <v>1</v>
      </c>
      <c r="CQ4" s="259">
        <v>0</v>
      </c>
      <c r="CR4" s="259">
        <v>0</v>
      </c>
      <c r="CS4" s="259">
        <f>CO4*1+CP4*2+CQ4*3+CR4*4</f>
        <v>8</v>
      </c>
      <c r="CT4" s="259">
        <v>4</v>
      </c>
      <c r="CU4" s="259">
        <v>14</v>
      </c>
      <c r="CV4" s="259">
        <v>4</v>
      </c>
      <c r="CW4" s="259">
        <v>0</v>
      </c>
      <c r="CX4" s="259">
        <v>0</v>
      </c>
      <c r="CY4" s="259">
        <v>1</v>
      </c>
      <c r="CZ4" s="259">
        <v>5</v>
      </c>
      <c r="DA4" s="259">
        <v>5</v>
      </c>
      <c r="DB4" s="259">
        <f>CZ4+DA4</f>
        <v>10</v>
      </c>
      <c r="DC4" s="259">
        <v>28</v>
      </c>
      <c r="DD4" s="9">
        <v>0</v>
      </c>
      <c r="DE4" s="19">
        <f>CN4/CM4</f>
        <v>0.15909090909090909</v>
      </c>
      <c r="DF4" s="20">
        <f>(CN4+CZ4+DA4)/(CM4+CZ4+DA4+CY4+CX4)</f>
        <v>0.30909090909090908</v>
      </c>
      <c r="DG4" s="20">
        <f>((CO4*1)+(CP4*2)+(CQ4*3)+(CR4*4))/CM4</f>
        <v>0.18181818181818182</v>
      </c>
      <c r="DH4" s="21">
        <f>DF4+DG4</f>
        <v>0.49090909090909091</v>
      </c>
      <c r="DI4" s="258" t="s">
        <v>310</v>
      </c>
      <c r="DJ4" s="154" t="s">
        <v>601</v>
      </c>
      <c r="DK4" s="1" t="s">
        <v>310</v>
      </c>
      <c r="DL4" s="358" t="s">
        <v>252</v>
      </c>
      <c r="DM4" s="9">
        <v>29</v>
      </c>
      <c r="DN4" s="1">
        <v>4</v>
      </c>
      <c r="DO4" s="358">
        <v>14</v>
      </c>
      <c r="DP4" s="358">
        <v>10</v>
      </c>
      <c r="DQ4" s="358">
        <f>DR4+DS4+DT4+DU4</f>
        <v>4</v>
      </c>
      <c r="DR4" s="358">
        <v>3</v>
      </c>
      <c r="DS4" s="358">
        <v>1</v>
      </c>
      <c r="DT4" s="358">
        <v>0</v>
      </c>
      <c r="DU4" s="358">
        <v>0</v>
      </c>
      <c r="DV4" s="358">
        <f>DR4*1+DS4*2+DT4*3+DU4*4</f>
        <v>5</v>
      </c>
      <c r="DW4" s="358">
        <v>1</v>
      </c>
      <c r="DX4" s="358">
        <v>5</v>
      </c>
      <c r="DY4" s="358">
        <v>5</v>
      </c>
      <c r="DZ4" s="358">
        <v>0</v>
      </c>
      <c r="EA4" s="358">
        <v>0</v>
      </c>
      <c r="EB4" s="358">
        <v>0</v>
      </c>
      <c r="EC4" s="358">
        <v>3</v>
      </c>
      <c r="ED4" s="358">
        <v>1</v>
      </c>
      <c r="EE4" s="358">
        <f>EC4+ED4</f>
        <v>4</v>
      </c>
      <c r="EF4" s="358">
        <v>4</v>
      </c>
      <c r="EG4" s="9">
        <v>0</v>
      </c>
      <c r="EH4" s="19">
        <f>DQ4/DP4</f>
        <v>0.4</v>
      </c>
      <c r="EI4" s="20">
        <f>(DQ4+EC4+ED4)/(DP4+EC4+ED4+EB4+EA4)</f>
        <v>0.5714285714285714</v>
      </c>
      <c r="EJ4" s="20">
        <f>((DR4*1)+(DS4*2)+(DT4*3)+(DU4*4))/DP4</f>
        <v>0.5</v>
      </c>
      <c r="EK4" s="21">
        <f>EI4+EJ4</f>
        <v>1.0714285714285714</v>
      </c>
      <c r="EL4" s="290" t="s">
        <v>310</v>
      </c>
    </row>
    <row r="5" spans="1:142" x14ac:dyDescent="0.3">
      <c r="A5" s="5" t="s">
        <v>73</v>
      </c>
      <c r="B5" s="1">
        <v>40</v>
      </c>
      <c r="C5" s="9" t="s">
        <v>42</v>
      </c>
      <c r="D5" s="11">
        <v>1</v>
      </c>
      <c r="E5" s="11">
        <v>3</v>
      </c>
      <c r="F5" s="11">
        <v>2</v>
      </c>
      <c r="G5" s="11">
        <v>0</v>
      </c>
      <c r="H5" s="18">
        <v>0</v>
      </c>
      <c r="I5" s="11">
        <v>0</v>
      </c>
      <c r="J5" s="11">
        <v>0</v>
      </c>
      <c r="K5" s="11">
        <v>0</v>
      </c>
      <c r="L5" s="11">
        <v>0</v>
      </c>
      <c r="M5" s="11">
        <v>1</v>
      </c>
      <c r="N5" s="11">
        <v>2</v>
      </c>
      <c r="O5" s="11">
        <v>1</v>
      </c>
      <c r="P5" s="11">
        <v>0</v>
      </c>
      <c r="Q5" s="11">
        <v>0</v>
      </c>
      <c r="R5" s="11">
        <v>0</v>
      </c>
      <c r="S5" s="11">
        <v>1</v>
      </c>
      <c r="T5" s="4">
        <v>0</v>
      </c>
      <c r="U5" s="215">
        <f t="shared" ref="U5:U34" si="1">S5+T5</f>
        <v>1</v>
      </c>
      <c r="V5" s="11">
        <v>1</v>
      </c>
      <c r="W5" s="11">
        <v>0</v>
      </c>
      <c r="X5" s="19">
        <v>0</v>
      </c>
      <c r="Y5" s="20">
        <v>0.33333333333333331</v>
      </c>
      <c r="Z5" s="20">
        <v>0</v>
      </c>
      <c r="AA5" s="21">
        <v>0.33333333333333331</v>
      </c>
      <c r="AB5" s="5" t="s">
        <v>73</v>
      </c>
      <c r="AD5" s="98" t="s">
        <v>102</v>
      </c>
      <c r="AE5" s="140">
        <v>15</v>
      </c>
      <c r="AF5" s="39">
        <v>50</v>
      </c>
      <c r="AG5" s="39">
        <v>40</v>
      </c>
      <c r="AH5" s="39">
        <v>8</v>
      </c>
      <c r="AI5" s="40">
        <v>6</v>
      </c>
      <c r="AJ5" s="40">
        <v>2</v>
      </c>
      <c r="AK5" s="40">
        <v>0</v>
      </c>
      <c r="AL5" s="39">
        <v>0</v>
      </c>
      <c r="AM5" s="40">
        <v>10</v>
      </c>
      <c r="AN5" s="40">
        <v>3</v>
      </c>
      <c r="AO5" s="40">
        <v>12</v>
      </c>
      <c r="AP5" s="40">
        <v>7</v>
      </c>
      <c r="AQ5" s="39">
        <v>1</v>
      </c>
      <c r="AR5" s="39">
        <v>0</v>
      </c>
      <c r="AS5" s="39">
        <v>0</v>
      </c>
      <c r="AT5" s="40">
        <v>7</v>
      </c>
      <c r="AU5" s="39">
        <v>3</v>
      </c>
      <c r="AV5" s="39">
        <f>AT5+AU5</f>
        <v>10</v>
      </c>
      <c r="AW5" s="39">
        <v>12</v>
      </c>
      <c r="AX5" s="32">
        <v>0</v>
      </c>
      <c r="AY5" s="19">
        <v>0.21052631578947367</v>
      </c>
      <c r="AZ5" s="20">
        <v>0.36170212765957449</v>
      </c>
      <c r="BA5" s="20">
        <v>0.26315789473684209</v>
      </c>
      <c r="BB5" s="20">
        <v>0.62486002239641658</v>
      </c>
      <c r="BC5" s="5" t="s">
        <v>73</v>
      </c>
      <c r="BE5" s="31" t="s">
        <v>275</v>
      </c>
      <c r="BF5" s="155" t="s">
        <v>276</v>
      </c>
      <c r="BG5" s="103">
        <v>40</v>
      </c>
      <c r="BH5" s="98">
        <v>9</v>
      </c>
      <c r="BI5" s="155">
        <v>28</v>
      </c>
      <c r="BJ5" s="155">
        <v>27</v>
      </c>
      <c r="BK5" s="242">
        <f>BL5+BM5+BN5+BO5</f>
        <v>6</v>
      </c>
      <c r="BL5" s="155">
        <v>6</v>
      </c>
      <c r="BM5" s="155">
        <v>0</v>
      </c>
      <c r="BN5" s="155">
        <v>0</v>
      </c>
      <c r="BO5" s="155">
        <v>0</v>
      </c>
      <c r="BP5" s="242">
        <f>BL5*1+BM5*2+BN5*3+BO5*4</f>
        <v>6</v>
      </c>
      <c r="BQ5" s="155">
        <v>7</v>
      </c>
      <c r="BR5" s="155">
        <v>6</v>
      </c>
      <c r="BS5" s="155">
        <v>3</v>
      </c>
      <c r="BT5" s="155">
        <v>0</v>
      </c>
      <c r="BU5" s="178">
        <v>0</v>
      </c>
      <c r="BV5" s="178">
        <v>0</v>
      </c>
      <c r="BW5" s="155">
        <v>0</v>
      </c>
      <c r="BX5" s="155">
        <v>1</v>
      </c>
      <c r="BY5" s="238">
        <f t="shared" si="0"/>
        <v>1</v>
      </c>
      <c r="BZ5" s="155">
        <v>9</v>
      </c>
      <c r="CA5" s="103">
        <v>0</v>
      </c>
      <c r="CB5" s="19">
        <f>BK5/BJ5</f>
        <v>0.22222222222222221</v>
      </c>
      <c r="CC5" s="20">
        <f>(BK5+BW5+BX5)/(BJ5+BW5+BX5+BV5+BU5)</f>
        <v>0.25</v>
      </c>
      <c r="CD5" s="20">
        <f>((BL5*1)+(BM5*2)+(BN5*3)+(BO5*4))/BJ5</f>
        <v>0.22222222222222221</v>
      </c>
      <c r="CE5" s="21">
        <f>CC5+CD5</f>
        <v>0.47222222222222221</v>
      </c>
      <c r="CF5" s="31" t="s">
        <v>73</v>
      </c>
      <c r="CH5" s="1" t="s">
        <v>73</v>
      </c>
      <c r="CI5" s="259" t="s">
        <v>276</v>
      </c>
      <c r="CJ5" s="9">
        <v>40</v>
      </c>
      <c r="CK5" s="1">
        <v>16</v>
      </c>
      <c r="CL5" s="259">
        <v>40</v>
      </c>
      <c r="CM5" s="259">
        <v>33</v>
      </c>
      <c r="CN5" s="259">
        <f>CO5+CP5+CQ5+CR5</f>
        <v>5</v>
      </c>
      <c r="CO5" s="259">
        <v>5</v>
      </c>
      <c r="CP5" s="259">
        <v>0</v>
      </c>
      <c r="CQ5" s="259">
        <v>0</v>
      </c>
      <c r="CR5" s="259">
        <v>0</v>
      </c>
      <c r="CS5" s="259">
        <f>CO5*1+CP5*2+CQ5*3+CR5*4</f>
        <v>5</v>
      </c>
      <c r="CT5" s="259">
        <v>4</v>
      </c>
      <c r="CU5" s="259">
        <v>7</v>
      </c>
      <c r="CV5" s="259">
        <v>9</v>
      </c>
      <c r="CW5" s="259">
        <v>0</v>
      </c>
      <c r="CX5" s="259">
        <v>0</v>
      </c>
      <c r="CY5" s="259">
        <v>0</v>
      </c>
      <c r="CZ5" s="259">
        <v>6</v>
      </c>
      <c r="DA5" s="259">
        <v>1</v>
      </c>
      <c r="DB5" s="259">
        <f>CZ5+DA5</f>
        <v>7</v>
      </c>
      <c r="DC5" s="259">
        <v>14</v>
      </c>
      <c r="DD5" s="9">
        <v>0</v>
      </c>
      <c r="DE5" s="19">
        <f>CN5/CM5</f>
        <v>0.15151515151515152</v>
      </c>
      <c r="DF5" s="20">
        <f>(CN5+CZ5+DA5)/(CM5+CZ5+DA5+CY5+CX5)</f>
        <v>0.3</v>
      </c>
      <c r="DG5" s="20">
        <f>((CO5*1)+(CP5*2)+(CQ5*3)+(CR5*4))/CM5</f>
        <v>0.15151515151515152</v>
      </c>
      <c r="DH5" s="21">
        <f>DF5+DG5</f>
        <v>0.45151515151515154</v>
      </c>
      <c r="DI5" s="258" t="s">
        <v>73</v>
      </c>
      <c r="DK5" s="1" t="s">
        <v>73</v>
      </c>
      <c r="DL5" s="358" t="s">
        <v>276</v>
      </c>
      <c r="DM5" s="9">
        <v>40</v>
      </c>
      <c r="DN5" s="1">
        <v>3</v>
      </c>
      <c r="DO5" s="358">
        <v>10</v>
      </c>
      <c r="DP5" s="358">
        <v>7</v>
      </c>
      <c r="DQ5" s="358">
        <f>DR5+DS5+DT5+DU5</f>
        <v>2</v>
      </c>
      <c r="DR5" s="358">
        <v>2</v>
      </c>
      <c r="DS5" s="358">
        <v>0</v>
      </c>
      <c r="DT5" s="358">
        <v>0</v>
      </c>
      <c r="DU5" s="358">
        <v>0</v>
      </c>
      <c r="DV5" s="358">
        <f>DR5*1+DS5*2+DT5*3+DU5*4</f>
        <v>2</v>
      </c>
      <c r="DW5" s="358">
        <v>0</v>
      </c>
      <c r="DX5" s="358">
        <v>2</v>
      </c>
      <c r="DY5" s="358">
        <v>5</v>
      </c>
      <c r="DZ5" s="358">
        <v>0</v>
      </c>
      <c r="EA5" s="358">
        <v>0</v>
      </c>
      <c r="EB5" s="358">
        <v>0</v>
      </c>
      <c r="EC5" s="358">
        <v>3</v>
      </c>
      <c r="ED5" s="358">
        <v>0</v>
      </c>
      <c r="EE5" s="358">
        <f>EC5+ED5</f>
        <v>3</v>
      </c>
      <c r="EF5" s="358">
        <v>3</v>
      </c>
      <c r="EG5" s="9">
        <v>0</v>
      </c>
      <c r="EH5" s="19">
        <f>DQ5/DP5</f>
        <v>0.2857142857142857</v>
      </c>
      <c r="EI5" s="20">
        <f>(DQ5+EC5+ED5)/(DP5+EC5+ED5+EB5+EA5)</f>
        <v>0.5</v>
      </c>
      <c r="EJ5" s="20">
        <f>((DR5*1)+(DS5*2)+(DT5*3)+(DU5*4))/DP5</f>
        <v>0.2857142857142857</v>
      </c>
      <c r="EK5" s="21">
        <f>EI5+EJ5</f>
        <v>0.7857142857142857</v>
      </c>
      <c r="EL5" s="290" t="s">
        <v>73</v>
      </c>
    </row>
    <row r="6" spans="1:142" s="152" customFormat="1" x14ac:dyDescent="0.3">
      <c r="A6" s="5"/>
      <c r="B6" s="1"/>
      <c r="C6" s="9"/>
      <c r="D6" s="153"/>
      <c r="E6" s="153"/>
      <c r="F6" s="153"/>
      <c r="G6" s="153"/>
      <c r="H6" s="18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U6" s="215"/>
      <c r="V6" s="153"/>
      <c r="W6" s="153"/>
      <c r="X6" s="19"/>
      <c r="Y6" s="20"/>
      <c r="Z6" s="20"/>
      <c r="AA6" s="21"/>
      <c r="AB6" s="5"/>
      <c r="AD6" s="98"/>
      <c r="AE6" s="140"/>
      <c r="AF6" s="39"/>
      <c r="AG6" s="39"/>
      <c r="AH6" s="39"/>
      <c r="AI6" s="40"/>
      <c r="AJ6" s="40"/>
      <c r="AK6" s="40"/>
      <c r="AL6" s="39"/>
      <c r="AM6" s="40"/>
      <c r="AN6" s="40"/>
      <c r="AO6" s="40"/>
      <c r="AP6" s="40"/>
      <c r="AQ6" s="39"/>
      <c r="AR6" s="39"/>
      <c r="AS6" s="39"/>
      <c r="AT6" s="40"/>
      <c r="AU6" s="39"/>
      <c r="AV6" s="39"/>
      <c r="AW6" s="39"/>
      <c r="AX6" s="32"/>
      <c r="AY6" s="19"/>
      <c r="AZ6" s="20"/>
      <c r="BA6" s="20"/>
      <c r="BB6" s="20"/>
      <c r="BC6" s="5"/>
      <c r="BE6" s="31" t="s">
        <v>304</v>
      </c>
      <c r="BF6" s="155" t="s">
        <v>305</v>
      </c>
      <c r="BG6" s="103">
        <v>84</v>
      </c>
      <c r="BH6" s="98">
        <v>9</v>
      </c>
      <c r="BI6" s="155">
        <v>34</v>
      </c>
      <c r="BJ6" s="155">
        <v>27</v>
      </c>
      <c r="BK6" s="242">
        <f>BL6+BM6+BN6+BO6</f>
        <v>12</v>
      </c>
      <c r="BL6" s="155">
        <v>7</v>
      </c>
      <c r="BM6" s="155">
        <v>5</v>
      </c>
      <c r="BN6" s="155">
        <v>0</v>
      </c>
      <c r="BO6" s="155">
        <v>0</v>
      </c>
      <c r="BP6" s="242">
        <f>BL6*1+BM6*2+BN6*3+BO6*4</f>
        <v>17</v>
      </c>
      <c r="BQ6" s="155">
        <v>16</v>
      </c>
      <c r="BR6" s="155">
        <v>11</v>
      </c>
      <c r="BS6" s="155">
        <v>5</v>
      </c>
      <c r="BT6" s="155">
        <v>0</v>
      </c>
      <c r="BU6" s="178">
        <v>0</v>
      </c>
      <c r="BV6" s="178">
        <v>2</v>
      </c>
      <c r="BW6" s="155">
        <v>5</v>
      </c>
      <c r="BX6" s="155">
        <v>0</v>
      </c>
      <c r="BY6" s="238">
        <f t="shared" si="0"/>
        <v>5</v>
      </c>
      <c r="BZ6" s="155">
        <v>2</v>
      </c>
      <c r="CA6" s="103">
        <v>0</v>
      </c>
      <c r="CB6" s="19">
        <f>BK6/BJ6</f>
        <v>0.44444444444444442</v>
      </c>
      <c r="CC6" s="20">
        <f>(BK6+BW6+BX6)/(BJ6+BW6+BX6+BV6+BU6)</f>
        <v>0.5</v>
      </c>
      <c r="CD6" s="20">
        <f>((BL6*1)+(BM6*2)+(BN6*3)+(BO6*4))/BJ6</f>
        <v>0.62962962962962965</v>
      </c>
      <c r="CE6" s="21">
        <f>CC6+CD6</f>
        <v>1.1296296296296298</v>
      </c>
      <c r="CF6" s="31" t="s">
        <v>304</v>
      </c>
      <c r="CH6" s="1" t="s">
        <v>304</v>
      </c>
      <c r="CI6" s="259" t="s">
        <v>252</v>
      </c>
      <c r="CJ6" s="9">
        <v>84</v>
      </c>
      <c r="CK6" s="1">
        <v>3</v>
      </c>
      <c r="CL6" s="259">
        <v>8</v>
      </c>
      <c r="CM6" s="259">
        <v>8</v>
      </c>
      <c r="CN6" s="259">
        <f>CO6+CP6+CQ6+CR6</f>
        <v>2</v>
      </c>
      <c r="CO6" s="259">
        <v>1</v>
      </c>
      <c r="CP6" s="259">
        <v>0</v>
      </c>
      <c r="CQ6" s="259">
        <v>0</v>
      </c>
      <c r="CR6" s="259">
        <v>1</v>
      </c>
      <c r="CS6" s="259">
        <f>CO6*1+CP6*2+CQ6*3+CR6*4</f>
        <v>5</v>
      </c>
      <c r="CT6" s="259">
        <v>3</v>
      </c>
      <c r="CU6" s="259">
        <v>1</v>
      </c>
      <c r="CV6" s="259">
        <v>0</v>
      </c>
      <c r="CW6" s="259">
        <v>0</v>
      </c>
      <c r="CX6" s="259">
        <v>0</v>
      </c>
      <c r="CY6" s="259">
        <v>0</v>
      </c>
      <c r="CZ6" s="259">
        <v>0</v>
      </c>
      <c r="DA6" s="259">
        <v>0</v>
      </c>
      <c r="DB6" s="259">
        <f>CZ6+DA6</f>
        <v>0</v>
      </c>
      <c r="DC6" s="259">
        <v>1</v>
      </c>
      <c r="DD6" s="9">
        <v>0</v>
      </c>
      <c r="DE6" s="19">
        <f>CN6/CM6</f>
        <v>0.25</v>
      </c>
      <c r="DF6" s="20">
        <f>(CN6+CZ6+DA6)/(CM6+CZ6+DA6+CY6+CX6)</f>
        <v>0.25</v>
      </c>
      <c r="DG6" s="20">
        <f>((CO6*1)+(CP6*2)+(CQ6*3)+(CR6*4))/CM6</f>
        <v>0.625</v>
      </c>
      <c r="DH6" s="21">
        <f>DF6+DG6</f>
        <v>0.875</v>
      </c>
      <c r="DI6" s="258" t="s">
        <v>304</v>
      </c>
      <c r="DK6" s="1" t="s">
        <v>304</v>
      </c>
      <c r="DL6" s="358" t="s">
        <v>252</v>
      </c>
      <c r="DM6" s="9">
        <v>84</v>
      </c>
      <c r="DN6" s="1">
        <v>1</v>
      </c>
      <c r="DO6" s="358">
        <v>3</v>
      </c>
      <c r="DP6" s="358">
        <v>3</v>
      </c>
      <c r="DQ6" s="358">
        <f>DR6+DS6+DT6+DU6</f>
        <v>0</v>
      </c>
      <c r="DR6" s="358">
        <v>0</v>
      </c>
      <c r="DS6" s="358">
        <v>0</v>
      </c>
      <c r="DT6" s="358">
        <v>0</v>
      </c>
      <c r="DU6" s="358">
        <v>0</v>
      </c>
      <c r="DV6" s="358">
        <f>DR6*1+DS6*2+DT6*3+DU6*4</f>
        <v>0</v>
      </c>
      <c r="DW6" s="358">
        <v>1</v>
      </c>
      <c r="DX6" s="358">
        <v>0</v>
      </c>
      <c r="DY6" s="358">
        <v>0</v>
      </c>
      <c r="DZ6" s="358">
        <v>0</v>
      </c>
      <c r="EA6" s="358">
        <v>0</v>
      </c>
      <c r="EB6" s="358">
        <v>0</v>
      </c>
      <c r="EC6" s="358">
        <v>0</v>
      </c>
      <c r="ED6" s="358">
        <v>0</v>
      </c>
      <c r="EE6" s="358">
        <f>EC6+ED6</f>
        <v>0</v>
      </c>
      <c r="EF6" s="358">
        <v>1</v>
      </c>
      <c r="EG6" s="9">
        <v>0</v>
      </c>
      <c r="EH6" s="19">
        <f>DQ6/DP6</f>
        <v>0</v>
      </c>
      <c r="EI6" s="20">
        <f>(DQ6+EC6+ED6)/(DP6+EC6+ED6+EB6+EA6)</f>
        <v>0</v>
      </c>
      <c r="EJ6" s="20">
        <f>((DR6*1)+(DS6*2)+(DT6*3)+(DU6*4))/DP6</f>
        <v>0</v>
      </c>
      <c r="EK6" s="21">
        <f>EI6+EJ6</f>
        <v>0</v>
      </c>
      <c r="EL6" s="290" t="s">
        <v>304</v>
      </c>
    </row>
    <row r="7" spans="1:142" x14ac:dyDescent="0.3">
      <c r="A7" s="5" t="s">
        <v>10</v>
      </c>
      <c r="B7" s="1">
        <v>17</v>
      </c>
      <c r="C7" s="9" t="s">
        <v>56</v>
      </c>
      <c r="D7" s="11">
        <v>1</v>
      </c>
      <c r="E7" s="11">
        <v>3</v>
      </c>
      <c r="F7" s="11">
        <v>2</v>
      </c>
      <c r="G7" s="11">
        <v>0</v>
      </c>
      <c r="H7" s="18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1</v>
      </c>
      <c r="O7" s="11">
        <v>0</v>
      </c>
      <c r="P7" s="11">
        <v>0</v>
      </c>
      <c r="Q7" s="11">
        <v>0</v>
      </c>
      <c r="R7" s="11">
        <v>0</v>
      </c>
      <c r="S7" s="11">
        <v>1</v>
      </c>
      <c r="T7" s="4">
        <v>0</v>
      </c>
      <c r="U7" s="215">
        <f t="shared" si="1"/>
        <v>1</v>
      </c>
      <c r="V7" s="11">
        <v>1</v>
      </c>
      <c r="W7" s="11">
        <v>0</v>
      </c>
      <c r="X7" s="19">
        <v>0</v>
      </c>
      <c r="Y7" s="20">
        <v>0.33333333333333331</v>
      </c>
      <c r="Z7" s="20">
        <v>0</v>
      </c>
      <c r="AA7" s="21">
        <v>0.33333333333333331</v>
      </c>
      <c r="AB7" s="5" t="s">
        <v>10</v>
      </c>
      <c r="AD7" s="98" t="s">
        <v>103</v>
      </c>
      <c r="AE7" s="140">
        <v>2</v>
      </c>
      <c r="AF7" s="40">
        <v>2</v>
      </c>
      <c r="AG7" s="40">
        <v>2</v>
      </c>
      <c r="AH7" s="40">
        <v>0</v>
      </c>
      <c r="AI7" s="40">
        <v>0</v>
      </c>
      <c r="AJ7" s="40">
        <v>0</v>
      </c>
      <c r="AK7" s="40">
        <v>0</v>
      </c>
      <c r="AL7" s="40">
        <v>0</v>
      </c>
      <c r="AM7" s="40">
        <v>0</v>
      </c>
      <c r="AN7" s="40">
        <v>0</v>
      </c>
      <c r="AO7" s="40">
        <v>0</v>
      </c>
      <c r="AP7" s="40">
        <v>0</v>
      </c>
      <c r="AQ7" s="40">
        <v>0</v>
      </c>
      <c r="AR7" s="41">
        <v>0</v>
      </c>
      <c r="AS7" s="40">
        <v>0</v>
      </c>
      <c r="AT7" s="40">
        <v>0</v>
      </c>
      <c r="AU7" s="40">
        <v>0</v>
      </c>
      <c r="AV7" s="39">
        <f t="shared" ref="AV7:AV34" si="2">AT7+AU7</f>
        <v>0</v>
      </c>
      <c r="AW7" s="40">
        <v>1</v>
      </c>
      <c r="AX7" s="34">
        <v>0</v>
      </c>
      <c r="AY7" s="19">
        <v>0</v>
      </c>
      <c r="AZ7" s="20">
        <v>0</v>
      </c>
      <c r="BA7" s="20">
        <v>0</v>
      </c>
      <c r="BB7" s="20">
        <v>0</v>
      </c>
      <c r="BC7" s="5" t="s">
        <v>10</v>
      </c>
      <c r="BE7" s="5"/>
      <c r="BF7" s="173"/>
      <c r="BG7" s="9"/>
      <c r="BH7" s="1"/>
      <c r="BI7" s="205"/>
      <c r="BJ7" s="205"/>
      <c r="BK7" s="238"/>
      <c r="BL7" s="205"/>
      <c r="BM7" s="205"/>
      <c r="BN7" s="205"/>
      <c r="BO7" s="205"/>
      <c r="BP7" s="238"/>
      <c r="BQ7" s="205"/>
      <c r="BR7" s="205"/>
      <c r="BS7" s="205"/>
      <c r="BT7" s="205"/>
      <c r="BU7" s="205"/>
      <c r="BV7" s="205"/>
      <c r="BW7" s="205"/>
      <c r="BX7" s="205"/>
      <c r="BY7" s="238"/>
      <c r="BZ7" s="205"/>
      <c r="CA7" s="9"/>
      <c r="CB7" s="1"/>
      <c r="CC7" s="173"/>
      <c r="CD7" s="173"/>
      <c r="CE7" s="9"/>
      <c r="CF7" s="5"/>
      <c r="CH7" s="1"/>
      <c r="CI7" s="259"/>
      <c r="CJ7" s="9"/>
      <c r="CK7" s="1"/>
      <c r="CL7" s="259"/>
      <c r="CM7" s="259"/>
      <c r="CN7" s="259"/>
      <c r="CO7" s="259"/>
      <c r="CP7" s="259"/>
      <c r="CQ7" s="259"/>
      <c r="CR7" s="259"/>
      <c r="CS7" s="259"/>
      <c r="CT7" s="259"/>
      <c r="CU7" s="259"/>
      <c r="CV7" s="259"/>
      <c r="CW7" s="259"/>
      <c r="CX7" s="259"/>
      <c r="CY7" s="259"/>
      <c r="CZ7" s="259"/>
      <c r="DA7" s="259"/>
      <c r="DB7" s="259"/>
      <c r="DC7" s="259"/>
      <c r="DD7" s="9"/>
      <c r="DE7" s="19"/>
      <c r="DF7" s="20"/>
      <c r="DG7" s="20"/>
      <c r="DH7" s="21"/>
      <c r="DI7" s="258"/>
      <c r="DK7" s="1"/>
      <c r="DL7" s="358"/>
      <c r="DM7" s="9"/>
      <c r="DN7" s="1"/>
      <c r="DO7" s="358"/>
      <c r="DP7" s="358"/>
      <c r="DQ7" s="358"/>
      <c r="DR7" s="358"/>
      <c r="DS7" s="358"/>
      <c r="DT7" s="358"/>
      <c r="DU7" s="358"/>
      <c r="DV7" s="358"/>
      <c r="DW7" s="358"/>
      <c r="DX7" s="358"/>
      <c r="DY7" s="358"/>
      <c r="DZ7" s="358"/>
      <c r="EA7" s="358"/>
      <c r="EB7" s="358"/>
      <c r="EC7" s="358"/>
      <c r="ED7" s="358"/>
      <c r="EE7" s="358"/>
      <c r="EF7" s="358"/>
      <c r="EG7" s="9"/>
      <c r="EH7" s="19"/>
      <c r="EI7" s="20"/>
      <c r="EJ7" s="20"/>
      <c r="EK7" s="21"/>
      <c r="EL7" s="290"/>
    </row>
    <row r="8" spans="1:142" x14ac:dyDescent="0.3">
      <c r="A8" s="5" t="s">
        <v>37</v>
      </c>
      <c r="B8" s="1">
        <v>24</v>
      </c>
      <c r="C8" s="9" t="s">
        <v>38</v>
      </c>
      <c r="D8" s="11">
        <v>7</v>
      </c>
      <c r="E8" s="11">
        <v>13</v>
      </c>
      <c r="F8" s="11">
        <v>7</v>
      </c>
      <c r="G8" s="11">
        <v>1</v>
      </c>
      <c r="H8" s="18">
        <v>1</v>
      </c>
      <c r="I8" s="11">
        <v>0</v>
      </c>
      <c r="J8" s="11">
        <v>0</v>
      </c>
      <c r="K8" s="11">
        <v>0</v>
      </c>
      <c r="L8" s="11">
        <v>1</v>
      </c>
      <c r="M8" s="11">
        <v>1</v>
      </c>
      <c r="N8" s="11">
        <v>0</v>
      </c>
      <c r="O8" s="11">
        <v>0</v>
      </c>
      <c r="P8" s="11">
        <v>1</v>
      </c>
      <c r="Q8" s="11">
        <v>0</v>
      </c>
      <c r="R8" s="11">
        <v>0</v>
      </c>
      <c r="S8" s="11">
        <v>4</v>
      </c>
      <c r="T8" s="4">
        <v>2</v>
      </c>
      <c r="U8" s="215">
        <f t="shared" si="1"/>
        <v>6</v>
      </c>
      <c r="V8" s="11">
        <v>3</v>
      </c>
      <c r="W8" s="11">
        <v>0</v>
      </c>
      <c r="X8" s="19">
        <v>0.14285714285714285</v>
      </c>
      <c r="Y8" s="20">
        <v>0.53846153846153844</v>
      </c>
      <c r="Z8" s="20">
        <v>0.14285714285714285</v>
      </c>
      <c r="AA8" s="21">
        <v>0.68131868131868134</v>
      </c>
      <c r="AB8" s="5" t="s">
        <v>37</v>
      </c>
      <c r="AD8" s="1"/>
      <c r="AE8" s="45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121"/>
      <c r="AU8" s="46"/>
      <c r="AV8" s="39"/>
      <c r="AW8" s="46"/>
      <c r="AX8" s="47"/>
      <c r="AY8" s="1"/>
      <c r="AZ8" s="108"/>
      <c r="BA8" s="108"/>
      <c r="BB8" s="108"/>
      <c r="BC8" s="5"/>
      <c r="BE8" s="5"/>
      <c r="BF8" s="173"/>
      <c r="BG8" s="9"/>
      <c r="BH8" s="1"/>
      <c r="BI8" s="205"/>
      <c r="BJ8" s="205"/>
      <c r="BK8" s="238"/>
      <c r="BL8" s="205"/>
      <c r="BM8" s="205"/>
      <c r="BN8" s="205"/>
      <c r="BO8" s="205"/>
      <c r="BP8" s="238"/>
      <c r="BQ8" s="205"/>
      <c r="BR8" s="205"/>
      <c r="BS8" s="205"/>
      <c r="BT8" s="205"/>
      <c r="BU8" s="205"/>
      <c r="BV8" s="205"/>
      <c r="BW8" s="205"/>
      <c r="BX8" s="205"/>
      <c r="BY8" s="238"/>
      <c r="BZ8" s="205"/>
      <c r="CA8" s="9"/>
      <c r="CB8" s="1"/>
      <c r="CC8" s="173"/>
      <c r="CD8" s="173"/>
      <c r="CE8" s="9"/>
      <c r="CF8" s="5"/>
      <c r="CH8" s="1"/>
      <c r="CI8" s="259"/>
      <c r="CJ8" s="9"/>
      <c r="CK8" s="1"/>
      <c r="CL8" s="259"/>
      <c r="CM8" s="259"/>
      <c r="CN8" s="259"/>
      <c r="CO8" s="259"/>
      <c r="CP8" s="259"/>
      <c r="CQ8" s="259"/>
      <c r="CR8" s="259"/>
      <c r="CS8" s="259"/>
      <c r="CT8" s="259"/>
      <c r="CU8" s="259"/>
      <c r="CV8" s="259"/>
      <c r="CW8" s="259"/>
      <c r="CX8" s="259"/>
      <c r="CY8" s="259"/>
      <c r="CZ8" s="259"/>
      <c r="DA8" s="259"/>
      <c r="DB8" s="259"/>
      <c r="DC8" s="259"/>
      <c r="DD8" s="9"/>
      <c r="DE8" s="19"/>
      <c r="DF8" s="20"/>
      <c r="DG8" s="20"/>
      <c r="DH8" s="21"/>
      <c r="DI8" s="258"/>
      <c r="DK8" s="1"/>
      <c r="DL8" s="358"/>
      <c r="DM8" s="9"/>
      <c r="DN8" s="1"/>
      <c r="DO8" s="358"/>
      <c r="DP8" s="358"/>
      <c r="DQ8" s="358"/>
      <c r="DR8" s="358"/>
      <c r="DS8" s="358"/>
      <c r="DT8" s="358"/>
      <c r="DU8" s="358"/>
      <c r="DV8" s="358"/>
      <c r="DW8" s="358"/>
      <c r="DX8" s="358"/>
      <c r="DY8" s="358"/>
      <c r="DZ8" s="358"/>
      <c r="EA8" s="358"/>
      <c r="EB8" s="358"/>
      <c r="EC8" s="358"/>
      <c r="ED8" s="358"/>
      <c r="EE8" s="358"/>
      <c r="EF8" s="358"/>
      <c r="EG8" s="9"/>
      <c r="EH8" s="19"/>
      <c r="EI8" s="20"/>
      <c r="EJ8" s="20"/>
      <c r="EK8" s="21"/>
      <c r="EL8" s="290"/>
    </row>
    <row r="9" spans="1:142" x14ac:dyDescent="0.3">
      <c r="A9" s="5" t="s">
        <v>39</v>
      </c>
      <c r="B9" s="1">
        <v>22</v>
      </c>
      <c r="C9" s="9" t="s">
        <v>40</v>
      </c>
      <c r="D9" s="11">
        <v>12</v>
      </c>
      <c r="E9" s="11">
        <v>26</v>
      </c>
      <c r="F9" s="11">
        <v>22</v>
      </c>
      <c r="G9" s="11">
        <v>8</v>
      </c>
      <c r="H9" s="18">
        <v>7</v>
      </c>
      <c r="I9" s="11">
        <v>1</v>
      </c>
      <c r="J9" s="11">
        <v>0</v>
      </c>
      <c r="K9" s="11">
        <v>0</v>
      </c>
      <c r="L9" s="11">
        <v>9</v>
      </c>
      <c r="M9" s="11">
        <v>11</v>
      </c>
      <c r="N9" s="11">
        <v>2</v>
      </c>
      <c r="O9" s="11">
        <v>3</v>
      </c>
      <c r="P9" s="11">
        <v>0</v>
      </c>
      <c r="Q9" s="11">
        <v>0</v>
      </c>
      <c r="R9" s="11">
        <v>0</v>
      </c>
      <c r="S9" s="11">
        <v>4</v>
      </c>
      <c r="T9" s="4">
        <v>0</v>
      </c>
      <c r="U9" s="215">
        <f t="shared" si="1"/>
        <v>4</v>
      </c>
      <c r="V9" s="11">
        <v>2</v>
      </c>
      <c r="W9" s="11">
        <v>0</v>
      </c>
      <c r="X9" s="19">
        <v>0.36363636363636365</v>
      </c>
      <c r="Y9" s="20">
        <v>0.46153846153846156</v>
      </c>
      <c r="Z9" s="20">
        <v>0.40909090909090912</v>
      </c>
      <c r="AA9" s="21">
        <v>0.87062937062937062</v>
      </c>
      <c r="AB9" s="5" t="s">
        <v>39</v>
      </c>
      <c r="AD9" s="98" t="s">
        <v>104</v>
      </c>
      <c r="AE9" s="140">
        <v>16</v>
      </c>
      <c r="AF9" s="39">
        <v>55</v>
      </c>
      <c r="AG9" s="39">
        <v>50</v>
      </c>
      <c r="AH9" s="39">
        <v>20</v>
      </c>
      <c r="AI9" s="40">
        <v>15</v>
      </c>
      <c r="AJ9" s="40">
        <v>3</v>
      </c>
      <c r="AK9" s="40">
        <v>2</v>
      </c>
      <c r="AL9" s="39">
        <v>0</v>
      </c>
      <c r="AM9" s="40">
        <v>27</v>
      </c>
      <c r="AN9" s="40">
        <v>20</v>
      </c>
      <c r="AO9" s="40">
        <v>22</v>
      </c>
      <c r="AP9" s="40">
        <v>11</v>
      </c>
      <c r="AQ9" s="39">
        <v>0</v>
      </c>
      <c r="AR9" s="39">
        <v>0</v>
      </c>
      <c r="AS9" s="39">
        <v>0</v>
      </c>
      <c r="AT9" s="40">
        <v>5</v>
      </c>
      <c r="AU9" s="39">
        <v>0</v>
      </c>
      <c r="AV9" s="39">
        <f t="shared" si="2"/>
        <v>5</v>
      </c>
      <c r="AW9" s="39">
        <v>6</v>
      </c>
      <c r="AX9" s="32">
        <v>0</v>
      </c>
      <c r="AY9" s="19">
        <v>0.375</v>
      </c>
      <c r="AZ9" s="20">
        <v>0.43396226415094341</v>
      </c>
      <c r="BA9" s="20">
        <v>0.5</v>
      </c>
      <c r="BB9" s="20">
        <v>0.93396226415094341</v>
      </c>
      <c r="BC9" s="5" t="s">
        <v>39</v>
      </c>
      <c r="BE9" s="31" t="s">
        <v>277</v>
      </c>
      <c r="BF9" s="155" t="s">
        <v>278</v>
      </c>
      <c r="BG9" s="103">
        <v>22</v>
      </c>
      <c r="BH9" s="219">
        <v>16</v>
      </c>
      <c r="BI9" s="179">
        <v>48</v>
      </c>
      <c r="BJ9" s="179">
        <v>36</v>
      </c>
      <c r="BK9" s="242">
        <f>BL9+BM9+BN9+BO9</f>
        <v>13</v>
      </c>
      <c r="BL9" s="179">
        <v>11</v>
      </c>
      <c r="BM9" s="179">
        <v>1</v>
      </c>
      <c r="BN9" s="179">
        <v>1</v>
      </c>
      <c r="BO9" s="179">
        <v>0</v>
      </c>
      <c r="BP9" s="242">
        <f>BL9*1+BM9*2+BN9*3+BO9*4</f>
        <v>16</v>
      </c>
      <c r="BQ9" s="179">
        <v>17</v>
      </c>
      <c r="BR9" s="179">
        <v>14</v>
      </c>
      <c r="BS9" s="179">
        <v>6</v>
      </c>
      <c r="BT9" s="179">
        <v>0</v>
      </c>
      <c r="BU9" s="180">
        <v>0</v>
      </c>
      <c r="BV9" s="180">
        <v>0</v>
      </c>
      <c r="BW9" s="179">
        <v>12</v>
      </c>
      <c r="BX9" s="179">
        <v>0</v>
      </c>
      <c r="BY9" s="238">
        <f t="shared" si="0"/>
        <v>12</v>
      </c>
      <c r="BZ9" s="181">
        <v>7</v>
      </c>
      <c r="CA9" s="220">
        <v>0</v>
      </c>
      <c r="CB9" s="19">
        <f>BK9/BJ9</f>
        <v>0.3611111111111111</v>
      </c>
      <c r="CC9" s="20">
        <f>(BK9+BW9+BX9)/(BJ9+BW9+BX9+BV9+BU9)</f>
        <v>0.52083333333333337</v>
      </c>
      <c r="CD9" s="20">
        <f>((BL9*1)+(BM9*2)+(BN9*3)+(BO9*4))/BJ9</f>
        <v>0.44444444444444442</v>
      </c>
      <c r="CE9" s="21">
        <f>CC9+CD9</f>
        <v>0.96527777777777779</v>
      </c>
      <c r="CF9" s="31" t="s">
        <v>39</v>
      </c>
      <c r="CH9" s="1" t="s">
        <v>39</v>
      </c>
      <c r="CI9" s="259" t="s">
        <v>252</v>
      </c>
      <c r="CJ9" s="9">
        <v>22</v>
      </c>
      <c r="CK9" s="1">
        <v>20</v>
      </c>
      <c r="CL9" s="259">
        <v>54</v>
      </c>
      <c r="CM9" s="259">
        <v>42</v>
      </c>
      <c r="CN9" s="259">
        <f t="shared" ref="CN9:CN14" si="3">CO9+CP9+CQ9+CR9</f>
        <v>13</v>
      </c>
      <c r="CO9" s="259">
        <v>7</v>
      </c>
      <c r="CP9" s="259">
        <v>6</v>
      </c>
      <c r="CQ9" s="259">
        <v>0</v>
      </c>
      <c r="CR9" s="259">
        <v>0</v>
      </c>
      <c r="CS9" s="259">
        <f t="shared" ref="CS9:CS14" si="4">CO9*1+CP9*2+CQ9*3+CR9*4</f>
        <v>19</v>
      </c>
      <c r="CT9" s="259">
        <v>15</v>
      </c>
      <c r="CU9" s="259">
        <v>14</v>
      </c>
      <c r="CV9" s="259">
        <v>8</v>
      </c>
      <c r="CW9" s="259">
        <v>0</v>
      </c>
      <c r="CX9" s="259">
        <v>0</v>
      </c>
      <c r="CY9" s="259">
        <v>1</v>
      </c>
      <c r="CZ9" s="259">
        <v>11</v>
      </c>
      <c r="DA9" s="259">
        <v>0</v>
      </c>
      <c r="DB9" s="259">
        <f t="shared" ref="DB9:DB21" si="5">CZ9+DA9</f>
        <v>11</v>
      </c>
      <c r="DC9" s="259">
        <v>10</v>
      </c>
      <c r="DD9" s="9">
        <v>2</v>
      </c>
      <c r="DE9" s="19">
        <f t="shared" ref="DE9:DE14" si="6">CN9/CM9</f>
        <v>0.30952380952380953</v>
      </c>
      <c r="DF9" s="20">
        <f t="shared" ref="DF9:DF14" si="7">(CN9+CZ9+DA9)/(CM9+CZ9+DA9+CY9+CX9)</f>
        <v>0.44444444444444442</v>
      </c>
      <c r="DG9" s="20">
        <f t="shared" ref="DG9:DG14" si="8">((CO9*1)+(CP9*2)+(CQ9*3)+(CR9*4))/CM9</f>
        <v>0.45238095238095238</v>
      </c>
      <c r="DH9" s="21">
        <f t="shared" ref="DH9:DH14" si="9">DF9+DG9</f>
        <v>0.89682539682539675</v>
      </c>
      <c r="DI9" s="258" t="s">
        <v>39</v>
      </c>
      <c r="DJ9" s="4" t="s">
        <v>602</v>
      </c>
      <c r="DK9" s="1" t="s">
        <v>39</v>
      </c>
      <c r="DL9" s="358" t="s">
        <v>252</v>
      </c>
      <c r="DM9" s="9">
        <v>22</v>
      </c>
      <c r="DN9" s="1">
        <v>3</v>
      </c>
      <c r="DO9" s="358">
        <v>9</v>
      </c>
      <c r="DP9" s="358">
        <v>7</v>
      </c>
      <c r="DQ9" s="358">
        <f t="shared" ref="DQ9:DQ14" si="10">DR9+DS9+DT9+DU9</f>
        <v>2</v>
      </c>
      <c r="DR9" s="358">
        <v>1</v>
      </c>
      <c r="DS9" s="358">
        <v>1</v>
      </c>
      <c r="DT9" s="358">
        <v>0</v>
      </c>
      <c r="DU9" s="358">
        <v>0</v>
      </c>
      <c r="DV9" s="358">
        <f t="shared" ref="DV9:DV14" si="11">DR9*1+DS9*2+DT9*3+DU9*4</f>
        <v>3</v>
      </c>
      <c r="DW9" s="358">
        <v>3</v>
      </c>
      <c r="DX9" s="358">
        <v>1</v>
      </c>
      <c r="DY9" s="358">
        <v>0</v>
      </c>
      <c r="DZ9" s="358">
        <v>0</v>
      </c>
      <c r="EA9" s="358">
        <v>0</v>
      </c>
      <c r="EB9" s="358">
        <v>0</v>
      </c>
      <c r="EC9" s="358">
        <v>2</v>
      </c>
      <c r="ED9" s="358">
        <v>0</v>
      </c>
      <c r="EE9" s="358">
        <f t="shared" ref="EE9:EE18" si="12">EC9+ED9</f>
        <v>2</v>
      </c>
      <c r="EF9" s="358">
        <v>1</v>
      </c>
      <c r="EG9" s="9">
        <v>1</v>
      </c>
      <c r="EH9" s="19">
        <f t="shared" ref="EH9:EH14" si="13">DQ9/DP9</f>
        <v>0.2857142857142857</v>
      </c>
      <c r="EI9" s="20">
        <f t="shared" ref="EI9:EI14" si="14">(DQ9+EC9+ED9)/(DP9+EC9+ED9+EB9+EA9)</f>
        <v>0.44444444444444442</v>
      </c>
      <c r="EJ9" s="20">
        <f t="shared" ref="EJ9:EJ14" si="15">((DR9*1)+(DS9*2)+(DT9*3)+(DU9*4))/DP9</f>
        <v>0.42857142857142855</v>
      </c>
      <c r="EK9" s="21">
        <f t="shared" ref="EK9:EK14" si="16">EI9+EJ9</f>
        <v>0.87301587301587302</v>
      </c>
      <c r="EL9" s="290" t="s">
        <v>39</v>
      </c>
    </row>
    <row r="10" spans="1:142" x14ac:dyDescent="0.3">
      <c r="A10" s="5" t="s">
        <v>41</v>
      </c>
      <c r="B10" s="1">
        <v>8</v>
      </c>
      <c r="C10" s="9" t="s">
        <v>42</v>
      </c>
      <c r="D10" s="11">
        <v>20</v>
      </c>
      <c r="E10" s="11">
        <v>59</v>
      </c>
      <c r="F10" s="11">
        <v>49</v>
      </c>
      <c r="G10" s="11">
        <v>26</v>
      </c>
      <c r="H10" s="18">
        <v>24</v>
      </c>
      <c r="I10" s="11">
        <v>2</v>
      </c>
      <c r="J10" s="11">
        <v>0</v>
      </c>
      <c r="K10" s="11">
        <v>0</v>
      </c>
      <c r="L10" s="11">
        <v>28</v>
      </c>
      <c r="M10" s="11">
        <v>16</v>
      </c>
      <c r="N10" s="11">
        <v>26</v>
      </c>
      <c r="O10" s="11">
        <v>18</v>
      </c>
      <c r="P10" s="11">
        <v>0</v>
      </c>
      <c r="Q10" s="11">
        <v>0</v>
      </c>
      <c r="R10" s="11">
        <v>2</v>
      </c>
      <c r="S10" s="11">
        <v>5</v>
      </c>
      <c r="T10" s="4">
        <v>3</v>
      </c>
      <c r="U10" s="215">
        <f t="shared" si="1"/>
        <v>8</v>
      </c>
      <c r="V10" s="11">
        <v>6</v>
      </c>
      <c r="W10" s="11">
        <v>1</v>
      </c>
      <c r="X10" s="19">
        <v>0.53061224489795922</v>
      </c>
      <c r="Y10" s="20">
        <v>0.57627118644067798</v>
      </c>
      <c r="Z10" s="20">
        <v>0.5714285714285714</v>
      </c>
      <c r="AA10" s="21">
        <v>1.1476997578692494</v>
      </c>
      <c r="AB10" s="5" t="s">
        <v>1</v>
      </c>
      <c r="AD10" s="98" t="s">
        <v>105</v>
      </c>
      <c r="AE10" s="140">
        <v>16</v>
      </c>
      <c r="AF10" s="39">
        <v>46</v>
      </c>
      <c r="AG10" s="39">
        <v>38</v>
      </c>
      <c r="AH10" s="39">
        <v>17</v>
      </c>
      <c r="AI10" s="40">
        <v>12</v>
      </c>
      <c r="AJ10" s="40">
        <v>4</v>
      </c>
      <c r="AK10" s="40">
        <v>0</v>
      </c>
      <c r="AL10" s="39">
        <v>1</v>
      </c>
      <c r="AM10" s="40">
        <v>24</v>
      </c>
      <c r="AN10" s="40">
        <v>13</v>
      </c>
      <c r="AO10" s="40">
        <v>23</v>
      </c>
      <c r="AP10" s="40">
        <v>12</v>
      </c>
      <c r="AQ10" s="39">
        <v>0</v>
      </c>
      <c r="AR10" s="39">
        <v>0</v>
      </c>
      <c r="AS10" s="39">
        <v>0</v>
      </c>
      <c r="AT10" s="40">
        <v>8</v>
      </c>
      <c r="AU10" s="39">
        <v>0</v>
      </c>
      <c r="AV10" s="39">
        <f t="shared" si="2"/>
        <v>8</v>
      </c>
      <c r="AW10" s="39">
        <v>11</v>
      </c>
      <c r="AX10" s="32">
        <v>0</v>
      </c>
      <c r="AY10" s="19">
        <v>0.47222222222222221</v>
      </c>
      <c r="AZ10" s="20">
        <v>0.55813953488372092</v>
      </c>
      <c r="BA10" s="20">
        <v>0.66666666666666663</v>
      </c>
      <c r="BB10" s="20">
        <v>1.2248062015503876</v>
      </c>
      <c r="BC10" s="5" t="s">
        <v>1</v>
      </c>
      <c r="BE10" s="31" t="s">
        <v>279</v>
      </c>
      <c r="BF10" s="155" t="s">
        <v>252</v>
      </c>
      <c r="BG10" s="103">
        <v>8</v>
      </c>
      <c r="BH10" s="219">
        <v>13</v>
      </c>
      <c r="BI10" s="181">
        <v>38</v>
      </c>
      <c r="BJ10" s="181">
        <v>32</v>
      </c>
      <c r="BK10" s="242">
        <f>BL10+BM10+BN10+BO10</f>
        <v>14</v>
      </c>
      <c r="BL10" s="181">
        <v>9</v>
      </c>
      <c r="BM10" s="181">
        <v>4</v>
      </c>
      <c r="BN10" s="181">
        <v>1</v>
      </c>
      <c r="BO10" s="181">
        <v>0</v>
      </c>
      <c r="BP10" s="242">
        <f>BL10*1+BM10*2+BN10*3+BO10*4</f>
        <v>20</v>
      </c>
      <c r="BQ10" s="181">
        <v>11</v>
      </c>
      <c r="BR10" s="181">
        <v>14</v>
      </c>
      <c r="BS10" s="181">
        <v>10</v>
      </c>
      <c r="BT10" s="181">
        <v>0</v>
      </c>
      <c r="BU10" s="181">
        <v>0</v>
      </c>
      <c r="BV10" s="181">
        <v>1</v>
      </c>
      <c r="BW10" s="181">
        <v>5</v>
      </c>
      <c r="BX10" s="181">
        <v>0</v>
      </c>
      <c r="BY10" s="238">
        <f t="shared" si="0"/>
        <v>5</v>
      </c>
      <c r="BZ10" s="181">
        <v>8</v>
      </c>
      <c r="CA10" s="221">
        <v>0</v>
      </c>
      <c r="CB10" s="19">
        <f>BK10/BJ10</f>
        <v>0.4375</v>
      </c>
      <c r="CC10" s="20">
        <f>(BK10+BW10+BX10)/(BJ10+BW10+BX10+BV10+BU10)</f>
        <v>0.5</v>
      </c>
      <c r="CD10" s="20">
        <f>((BL10*1)+(BM10*2)+(BN10*3)+(BO10*4))/BJ10</f>
        <v>0.625</v>
      </c>
      <c r="CE10" s="21">
        <f>CC10+CD10</f>
        <v>1.125</v>
      </c>
      <c r="CF10" s="31" t="s">
        <v>1</v>
      </c>
      <c r="CH10" s="1" t="s">
        <v>1</v>
      </c>
      <c r="CI10" s="259" t="s">
        <v>252</v>
      </c>
      <c r="CJ10" s="9">
        <v>8</v>
      </c>
      <c r="CK10" s="1">
        <v>19</v>
      </c>
      <c r="CL10" s="259">
        <v>52</v>
      </c>
      <c r="CM10" s="259">
        <v>41</v>
      </c>
      <c r="CN10" s="259">
        <f t="shared" si="3"/>
        <v>12</v>
      </c>
      <c r="CO10" s="259">
        <v>9</v>
      </c>
      <c r="CP10" s="259">
        <v>2</v>
      </c>
      <c r="CQ10" s="259">
        <v>1</v>
      </c>
      <c r="CR10" s="259">
        <v>0</v>
      </c>
      <c r="CS10" s="259">
        <f t="shared" si="4"/>
        <v>16</v>
      </c>
      <c r="CT10" s="259">
        <v>11</v>
      </c>
      <c r="CU10" s="259">
        <v>19</v>
      </c>
      <c r="CV10" s="259">
        <v>10</v>
      </c>
      <c r="CW10" s="259">
        <v>1</v>
      </c>
      <c r="CX10" s="259">
        <v>0</v>
      </c>
      <c r="CY10" s="259">
        <v>1</v>
      </c>
      <c r="CZ10" s="259">
        <v>10</v>
      </c>
      <c r="DA10" s="259">
        <v>0</v>
      </c>
      <c r="DB10" s="259">
        <f t="shared" si="5"/>
        <v>10</v>
      </c>
      <c r="DC10" s="259">
        <v>15</v>
      </c>
      <c r="DD10" s="9">
        <v>0</v>
      </c>
      <c r="DE10" s="19">
        <f t="shared" si="6"/>
        <v>0.29268292682926828</v>
      </c>
      <c r="DF10" s="20">
        <f t="shared" si="7"/>
        <v>0.42307692307692307</v>
      </c>
      <c r="DG10" s="20">
        <f t="shared" si="8"/>
        <v>0.3902439024390244</v>
      </c>
      <c r="DH10" s="21">
        <f t="shared" si="9"/>
        <v>0.81332082551594742</v>
      </c>
      <c r="DI10" s="258" t="s">
        <v>1</v>
      </c>
      <c r="DJ10" s="4" t="s">
        <v>603</v>
      </c>
      <c r="DK10" s="1" t="s">
        <v>1</v>
      </c>
      <c r="DL10" s="358" t="s">
        <v>252</v>
      </c>
      <c r="DM10" s="9">
        <v>8</v>
      </c>
      <c r="DN10" s="1">
        <v>4</v>
      </c>
      <c r="DO10" s="358">
        <v>9</v>
      </c>
      <c r="DP10" s="358">
        <v>7</v>
      </c>
      <c r="DQ10" s="358">
        <f t="shared" si="10"/>
        <v>0</v>
      </c>
      <c r="DR10" s="358">
        <v>0</v>
      </c>
      <c r="DS10" s="358">
        <v>0</v>
      </c>
      <c r="DT10" s="358">
        <v>0</v>
      </c>
      <c r="DU10" s="358">
        <v>0</v>
      </c>
      <c r="DV10" s="358">
        <f t="shared" si="11"/>
        <v>0</v>
      </c>
      <c r="DW10" s="358">
        <v>2</v>
      </c>
      <c r="DX10" s="358">
        <v>3</v>
      </c>
      <c r="DY10" s="358">
        <v>2</v>
      </c>
      <c r="DZ10" s="358">
        <v>0</v>
      </c>
      <c r="EA10" s="358">
        <v>0</v>
      </c>
      <c r="EB10" s="358">
        <v>0</v>
      </c>
      <c r="EC10" s="358">
        <v>3</v>
      </c>
      <c r="ED10" s="358">
        <v>0</v>
      </c>
      <c r="EE10" s="358">
        <f t="shared" si="12"/>
        <v>3</v>
      </c>
      <c r="EF10" s="358">
        <v>4</v>
      </c>
      <c r="EG10" s="9">
        <v>0</v>
      </c>
      <c r="EH10" s="19">
        <f t="shared" si="13"/>
        <v>0</v>
      </c>
      <c r="EI10" s="20">
        <f t="shared" si="14"/>
        <v>0.3</v>
      </c>
      <c r="EJ10" s="20">
        <f t="shared" si="15"/>
        <v>0</v>
      </c>
      <c r="EK10" s="21">
        <f t="shared" si="16"/>
        <v>0.3</v>
      </c>
      <c r="EL10" s="290" t="s">
        <v>1</v>
      </c>
    </row>
    <row r="11" spans="1:142" x14ac:dyDescent="0.3">
      <c r="A11" s="5" t="s">
        <v>43</v>
      </c>
      <c r="B11" s="1">
        <v>13</v>
      </c>
      <c r="C11" s="9" t="s">
        <v>44</v>
      </c>
      <c r="D11" s="11">
        <v>17</v>
      </c>
      <c r="E11" s="11">
        <v>52</v>
      </c>
      <c r="F11" s="11">
        <v>46</v>
      </c>
      <c r="G11" s="11">
        <v>21</v>
      </c>
      <c r="H11" s="18">
        <v>19</v>
      </c>
      <c r="I11" s="11">
        <v>2</v>
      </c>
      <c r="J11" s="11">
        <v>0</v>
      </c>
      <c r="K11" s="11">
        <v>0</v>
      </c>
      <c r="L11" s="11">
        <v>23</v>
      </c>
      <c r="M11" s="11">
        <v>6</v>
      </c>
      <c r="N11" s="11">
        <v>20</v>
      </c>
      <c r="O11" s="11">
        <v>12</v>
      </c>
      <c r="P11" s="11">
        <v>1</v>
      </c>
      <c r="Q11" s="11">
        <v>0</v>
      </c>
      <c r="R11" s="11">
        <v>0</v>
      </c>
      <c r="S11" s="11">
        <v>6</v>
      </c>
      <c r="T11" s="4">
        <v>0</v>
      </c>
      <c r="U11" s="215">
        <f t="shared" si="1"/>
        <v>6</v>
      </c>
      <c r="V11" s="11">
        <v>6</v>
      </c>
      <c r="W11" s="11">
        <v>0</v>
      </c>
      <c r="X11" s="19">
        <v>0.45652173913043476</v>
      </c>
      <c r="Y11" s="20">
        <v>0.51923076923076927</v>
      </c>
      <c r="Z11" s="20">
        <v>0.5</v>
      </c>
      <c r="AA11" s="21">
        <v>1.0192307692307692</v>
      </c>
      <c r="AB11" s="5" t="s">
        <v>2</v>
      </c>
      <c r="AD11" s="98" t="s">
        <v>106</v>
      </c>
      <c r="AE11" s="140">
        <v>10</v>
      </c>
      <c r="AF11" s="39">
        <v>19</v>
      </c>
      <c r="AG11" s="39">
        <v>15</v>
      </c>
      <c r="AH11" s="39">
        <v>9</v>
      </c>
      <c r="AI11" s="40">
        <v>8</v>
      </c>
      <c r="AJ11" s="40">
        <v>1</v>
      </c>
      <c r="AK11" s="40">
        <v>0</v>
      </c>
      <c r="AL11" s="39">
        <v>0</v>
      </c>
      <c r="AM11" s="40">
        <v>10</v>
      </c>
      <c r="AN11" s="40">
        <v>9</v>
      </c>
      <c r="AO11" s="40">
        <v>11</v>
      </c>
      <c r="AP11" s="40">
        <v>12</v>
      </c>
      <c r="AQ11" s="39">
        <v>0</v>
      </c>
      <c r="AR11" s="39">
        <v>0</v>
      </c>
      <c r="AS11" s="39">
        <v>0</v>
      </c>
      <c r="AT11" s="40">
        <v>4</v>
      </c>
      <c r="AU11" s="39">
        <v>0</v>
      </c>
      <c r="AV11" s="39">
        <f t="shared" si="2"/>
        <v>4</v>
      </c>
      <c r="AW11" s="39">
        <v>1</v>
      </c>
      <c r="AX11" s="32">
        <v>0</v>
      </c>
      <c r="AY11" s="19">
        <v>0.6</v>
      </c>
      <c r="AZ11" s="20">
        <v>0.68421052631578949</v>
      </c>
      <c r="BA11" s="20">
        <v>0.66666666666666663</v>
      </c>
      <c r="BB11" s="20">
        <v>1.3508771929824561</v>
      </c>
      <c r="BC11" s="5" t="s">
        <v>2</v>
      </c>
      <c r="BE11" s="31" t="s">
        <v>2</v>
      </c>
      <c r="BF11" s="155" t="s">
        <v>278</v>
      </c>
      <c r="BG11" s="103">
        <v>13</v>
      </c>
      <c r="BH11" s="219">
        <v>18</v>
      </c>
      <c r="BI11" s="181">
        <v>73</v>
      </c>
      <c r="BJ11" s="181">
        <v>53</v>
      </c>
      <c r="BK11" s="242">
        <f>BL11+BM11+BN11+BO11</f>
        <v>22</v>
      </c>
      <c r="BL11" s="181">
        <v>17</v>
      </c>
      <c r="BM11" s="181">
        <v>5</v>
      </c>
      <c r="BN11" s="181">
        <v>0</v>
      </c>
      <c r="BO11" s="181">
        <v>0</v>
      </c>
      <c r="BP11" s="242">
        <f>BL11*1+BM11*2+BN11*3+BO11*4</f>
        <v>27</v>
      </c>
      <c r="BQ11" s="181">
        <v>15</v>
      </c>
      <c r="BR11" s="181">
        <v>33</v>
      </c>
      <c r="BS11" s="181">
        <v>20</v>
      </c>
      <c r="BT11" s="181">
        <v>0</v>
      </c>
      <c r="BU11" s="181">
        <v>0</v>
      </c>
      <c r="BV11" s="181">
        <v>1</v>
      </c>
      <c r="BW11" s="181">
        <v>19</v>
      </c>
      <c r="BX11" s="181">
        <v>0</v>
      </c>
      <c r="BY11" s="238">
        <f t="shared" si="0"/>
        <v>19</v>
      </c>
      <c r="BZ11" s="181">
        <v>5</v>
      </c>
      <c r="CA11" s="221">
        <v>0</v>
      </c>
      <c r="CB11" s="19">
        <f>BK11/BJ11</f>
        <v>0.41509433962264153</v>
      </c>
      <c r="CC11" s="20">
        <f>(BK11+BW11+BX11)/(BJ11+BW11+BX11+BV11+BU11)</f>
        <v>0.56164383561643838</v>
      </c>
      <c r="CD11" s="20">
        <f>((BL11*1)+(BM11*2)+(BN11*3)+(BO11*4))/BJ11</f>
        <v>0.50943396226415094</v>
      </c>
      <c r="CE11" s="21">
        <f>CC11+CD11</f>
        <v>1.0710777978805894</v>
      </c>
      <c r="CF11" s="31" t="s">
        <v>2</v>
      </c>
      <c r="CH11" s="1" t="s">
        <v>2</v>
      </c>
      <c r="CI11" s="259" t="s">
        <v>252</v>
      </c>
      <c r="CJ11" s="9">
        <v>13</v>
      </c>
      <c r="CK11" s="1">
        <v>22</v>
      </c>
      <c r="CL11" s="259">
        <v>72</v>
      </c>
      <c r="CM11" s="259">
        <v>65</v>
      </c>
      <c r="CN11" s="259">
        <f t="shared" si="3"/>
        <v>30</v>
      </c>
      <c r="CO11" s="259">
        <v>29</v>
      </c>
      <c r="CP11" s="259">
        <v>1</v>
      </c>
      <c r="CQ11" s="259">
        <v>0</v>
      </c>
      <c r="CR11" s="259">
        <v>0</v>
      </c>
      <c r="CS11" s="259">
        <f t="shared" si="4"/>
        <v>31</v>
      </c>
      <c r="CT11" s="259">
        <v>18</v>
      </c>
      <c r="CU11" s="259">
        <v>25</v>
      </c>
      <c r="CV11" s="259">
        <v>26</v>
      </c>
      <c r="CW11" s="259">
        <v>1</v>
      </c>
      <c r="CX11" s="259">
        <v>0</v>
      </c>
      <c r="CY11" s="259">
        <v>0</v>
      </c>
      <c r="CZ11" s="259">
        <v>6</v>
      </c>
      <c r="DA11" s="259">
        <v>1</v>
      </c>
      <c r="DB11" s="259">
        <f t="shared" si="5"/>
        <v>7</v>
      </c>
      <c r="DC11" s="259">
        <v>6</v>
      </c>
      <c r="DD11" s="9">
        <v>1</v>
      </c>
      <c r="DE11" s="19">
        <f t="shared" si="6"/>
        <v>0.46153846153846156</v>
      </c>
      <c r="DF11" s="20">
        <f t="shared" si="7"/>
        <v>0.51388888888888884</v>
      </c>
      <c r="DG11" s="20">
        <f t="shared" si="8"/>
        <v>0.47692307692307695</v>
      </c>
      <c r="DH11" s="21">
        <f t="shared" si="9"/>
        <v>0.99081196581196584</v>
      </c>
      <c r="DI11" s="258" t="s">
        <v>2</v>
      </c>
      <c r="DJ11" s="4" t="s">
        <v>604</v>
      </c>
      <c r="DK11" s="1" t="s">
        <v>2</v>
      </c>
      <c r="DL11" s="358" t="s">
        <v>252</v>
      </c>
      <c r="DM11" s="9">
        <v>13</v>
      </c>
      <c r="DN11" s="1">
        <v>3</v>
      </c>
      <c r="DO11" s="358">
        <v>11</v>
      </c>
      <c r="DP11" s="358">
        <v>9</v>
      </c>
      <c r="DQ11" s="358">
        <f t="shared" si="10"/>
        <v>4</v>
      </c>
      <c r="DR11" s="358">
        <v>3</v>
      </c>
      <c r="DS11" s="358">
        <v>1</v>
      </c>
      <c r="DT11" s="358">
        <v>0</v>
      </c>
      <c r="DU11" s="358">
        <v>0</v>
      </c>
      <c r="DV11" s="358">
        <f t="shared" si="11"/>
        <v>5</v>
      </c>
      <c r="DW11" s="358">
        <v>2</v>
      </c>
      <c r="DX11" s="358">
        <v>4</v>
      </c>
      <c r="DY11" s="358">
        <v>2</v>
      </c>
      <c r="DZ11" s="358">
        <v>0</v>
      </c>
      <c r="EA11" s="358">
        <v>0</v>
      </c>
      <c r="EB11" s="358">
        <v>0</v>
      </c>
      <c r="EC11" s="358">
        <v>2</v>
      </c>
      <c r="ED11" s="358">
        <v>0</v>
      </c>
      <c r="EE11" s="358">
        <f t="shared" si="12"/>
        <v>2</v>
      </c>
      <c r="EF11" s="358">
        <v>1</v>
      </c>
      <c r="EG11" s="9">
        <v>0</v>
      </c>
      <c r="EH11" s="19">
        <f t="shared" si="13"/>
        <v>0.44444444444444442</v>
      </c>
      <c r="EI11" s="20">
        <f t="shared" si="14"/>
        <v>0.54545454545454541</v>
      </c>
      <c r="EJ11" s="20">
        <f t="shared" si="15"/>
        <v>0.55555555555555558</v>
      </c>
      <c r="EK11" s="21">
        <f t="shared" si="16"/>
        <v>1.101010101010101</v>
      </c>
      <c r="EL11" s="290" t="s">
        <v>2</v>
      </c>
    </row>
    <row r="12" spans="1:142" s="96" customFormat="1" x14ac:dyDescent="0.3">
      <c r="A12" s="5"/>
      <c r="B12" s="1"/>
      <c r="C12" s="9"/>
      <c r="D12" s="97"/>
      <c r="E12" s="97"/>
      <c r="F12" s="97"/>
      <c r="G12" s="97"/>
      <c r="H12" s="18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U12" s="215"/>
      <c r="V12" s="97"/>
      <c r="W12" s="97"/>
      <c r="X12" s="19"/>
      <c r="Y12" s="20"/>
      <c r="Z12" s="20"/>
      <c r="AA12" s="21"/>
      <c r="AB12" s="5"/>
      <c r="AD12" s="98"/>
      <c r="AE12" s="140"/>
      <c r="AF12" s="39"/>
      <c r="AG12" s="39"/>
      <c r="AH12" s="39"/>
      <c r="AI12" s="40"/>
      <c r="AJ12" s="40"/>
      <c r="AK12" s="40"/>
      <c r="AL12" s="39"/>
      <c r="AM12" s="40"/>
      <c r="AN12" s="40"/>
      <c r="AO12" s="40"/>
      <c r="AP12" s="40"/>
      <c r="AQ12" s="39"/>
      <c r="AR12" s="39"/>
      <c r="AS12" s="39"/>
      <c r="AT12" s="40"/>
      <c r="AU12" s="39"/>
      <c r="AV12" s="39"/>
      <c r="AW12" s="39"/>
      <c r="AX12" s="32"/>
      <c r="AY12" s="19"/>
      <c r="AZ12" s="20"/>
      <c r="BA12" s="20"/>
      <c r="BB12" s="20"/>
      <c r="BC12" s="5"/>
      <c r="BE12" s="31" t="s">
        <v>295</v>
      </c>
      <c r="BF12" s="155" t="s">
        <v>296</v>
      </c>
      <c r="BG12" s="103">
        <v>0</v>
      </c>
      <c r="BH12" s="219">
        <v>8</v>
      </c>
      <c r="BI12" s="181">
        <v>25</v>
      </c>
      <c r="BJ12" s="181">
        <v>22</v>
      </c>
      <c r="BK12" s="242">
        <f>BL12+BM12+BN12+BO12</f>
        <v>8</v>
      </c>
      <c r="BL12" s="181">
        <v>6</v>
      </c>
      <c r="BM12" s="181">
        <v>1</v>
      </c>
      <c r="BN12" s="181">
        <v>1</v>
      </c>
      <c r="BO12" s="181">
        <v>0</v>
      </c>
      <c r="BP12" s="242">
        <f>BL12*1+BM12*2+BN12*3+BO12*4</f>
        <v>11</v>
      </c>
      <c r="BQ12" s="181">
        <v>8</v>
      </c>
      <c r="BR12" s="181">
        <v>10</v>
      </c>
      <c r="BS12" s="181">
        <v>2</v>
      </c>
      <c r="BT12" s="181">
        <v>0</v>
      </c>
      <c r="BU12" s="181">
        <v>0</v>
      </c>
      <c r="BV12" s="181">
        <v>0</v>
      </c>
      <c r="BW12" s="181">
        <v>4</v>
      </c>
      <c r="BX12" s="181">
        <v>0</v>
      </c>
      <c r="BY12" s="238">
        <f t="shared" si="0"/>
        <v>4</v>
      </c>
      <c r="BZ12" s="181">
        <v>6</v>
      </c>
      <c r="CA12" s="221">
        <v>0</v>
      </c>
      <c r="CB12" s="19">
        <f>BK12/BJ12</f>
        <v>0.36363636363636365</v>
      </c>
      <c r="CC12" s="20">
        <f>(BK12+BW12+BX12)/(BJ12+BW12+BX12+BV12+BU12)</f>
        <v>0.46153846153846156</v>
      </c>
      <c r="CD12" s="20">
        <f>((BL12*1)+(BM12*2)+(BN12*3)+(BO12*4))/BJ12</f>
        <v>0.5</v>
      </c>
      <c r="CE12" s="21">
        <f>CC12+CD12</f>
        <v>0.96153846153846156</v>
      </c>
      <c r="CF12" s="31" t="s">
        <v>295</v>
      </c>
      <c r="CH12" s="1" t="s">
        <v>295</v>
      </c>
      <c r="CI12" s="259" t="s">
        <v>252</v>
      </c>
      <c r="CJ12" s="9">
        <v>36</v>
      </c>
      <c r="CK12" s="1">
        <v>17</v>
      </c>
      <c r="CL12" s="259">
        <v>49</v>
      </c>
      <c r="CM12" s="259">
        <v>40</v>
      </c>
      <c r="CN12" s="259">
        <f t="shared" si="3"/>
        <v>19</v>
      </c>
      <c r="CO12" s="259">
        <v>15</v>
      </c>
      <c r="CP12" s="259">
        <v>4</v>
      </c>
      <c r="CQ12" s="259">
        <v>0</v>
      </c>
      <c r="CR12" s="259">
        <v>0</v>
      </c>
      <c r="CS12" s="259">
        <f t="shared" si="4"/>
        <v>23</v>
      </c>
      <c r="CT12" s="259">
        <v>17</v>
      </c>
      <c r="CU12" s="259">
        <v>15</v>
      </c>
      <c r="CV12" s="259">
        <v>8</v>
      </c>
      <c r="CW12" s="259">
        <v>0</v>
      </c>
      <c r="CX12" s="259">
        <v>0</v>
      </c>
      <c r="CY12" s="259">
        <v>0</v>
      </c>
      <c r="CZ12" s="259">
        <v>9</v>
      </c>
      <c r="DA12" s="259">
        <v>0</v>
      </c>
      <c r="DB12" s="259">
        <f t="shared" si="5"/>
        <v>9</v>
      </c>
      <c r="DC12" s="259">
        <v>4</v>
      </c>
      <c r="DD12" s="9">
        <v>0</v>
      </c>
      <c r="DE12" s="19">
        <f t="shared" si="6"/>
        <v>0.47499999999999998</v>
      </c>
      <c r="DF12" s="20">
        <f t="shared" si="7"/>
        <v>0.5714285714285714</v>
      </c>
      <c r="DG12" s="20">
        <f t="shared" si="8"/>
        <v>0.57499999999999996</v>
      </c>
      <c r="DH12" s="21">
        <f t="shared" si="9"/>
        <v>1.1464285714285714</v>
      </c>
      <c r="DI12" s="258" t="s">
        <v>295</v>
      </c>
      <c r="DJ12" s="96" t="s">
        <v>605</v>
      </c>
      <c r="DK12" s="1" t="s">
        <v>295</v>
      </c>
      <c r="DL12" s="358" t="s">
        <v>252</v>
      </c>
      <c r="DM12" s="9">
        <v>36</v>
      </c>
      <c r="DN12" s="1">
        <v>3</v>
      </c>
      <c r="DO12" s="358">
        <v>10</v>
      </c>
      <c r="DP12" s="358">
        <v>8</v>
      </c>
      <c r="DQ12" s="358">
        <f t="shared" si="10"/>
        <v>4</v>
      </c>
      <c r="DR12" s="358">
        <v>3</v>
      </c>
      <c r="DS12" s="358">
        <v>1</v>
      </c>
      <c r="DT12" s="358">
        <v>0</v>
      </c>
      <c r="DU12" s="358">
        <v>0</v>
      </c>
      <c r="DV12" s="358">
        <f t="shared" si="11"/>
        <v>5</v>
      </c>
      <c r="DW12" s="358">
        <v>2</v>
      </c>
      <c r="DX12" s="358">
        <v>1</v>
      </c>
      <c r="DY12" s="358">
        <v>5</v>
      </c>
      <c r="DZ12" s="358">
        <v>0</v>
      </c>
      <c r="EA12" s="358">
        <v>0</v>
      </c>
      <c r="EB12" s="358">
        <v>0</v>
      </c>
      <c r="EC12" s="358">
        <v>2</v>
      </c>
      <c r="ED12" s="358">
        <v>0</v>
      </c>
      <c r="EE12" s="358">
        <f t="shared" si="12"/>
        <v>2</v>
      </c>
      <c r="EF12" s="358">
        <v>0</v>
      </c>
      <c r="EG12" s="9">
        <v>2</v>
      </c>
      <c r="EH12" s="19">
        <f t="shared" si="13"/>
        <v>0.5</v>
      </c>
      <c r="EI12" s="20">
        <f t="shared" si="14"/>
        <v>0.6</v>
      </c>
      <c r="EJ12" s="20">
        <f t="shared" si="15"/>
        <v>0.625</v>
      </c>
      <c r="EK12" s="21">
        <f t="shared" si="16"/>
        <v>1.2250000000000001</v>
      </c>
      <c r="EL12" s="290" t="s">
        <v>295</v>
      </c>
    </row>
    <row r="13" spans="1:142" x14ac:dyDescent="0.3">
      <c r="A13" s="5" t="s">
        <v>45</v>
      </c>
      <c r="B13" s="1">
        <v>99</v>
      </c>
      <c r="C13" s="9" t="s">
        <v>46</v>
      </c>
      <c r="D13" s="11">
        <v>9</v>
      </c>
      <c r="E13" s="11">
        <v>24</v>
      </c>
      <c r="F13" s="11">
        <v>17</v>
      </c>
      <c r="G13" s="11">
        <v>4</v>
      </c>
      <c r="H13" s="18">
        <v>4</v>
      </c>
      <c r="I13" s="11">
        <v>0</v>
      </c>
      <c r="J13" s="11">
        <v>0</v>
      </c>
      <c r="K13" s="11">
        <v>0</v>
      </c>
      <c r="L13" s="11">
        <v>4</v>
      </c>
      <c r="M13" s="11">
        <v>9</v>
      </c>
      <c r="N13" s="11">
        <v>6</v>
      </c>
      <c r="O13" s="11">
        <v>2</v>
      </c>
      <c r="P13" s="11">
        <v>0</v>
      </c>
      <c r="Q13" s="11">
        <v>0</v>
      </c>
      <c r="R13" s="11">
        <v>1</v>
      </c>
      <c r="S13" s="11">
        <v>5</v>
      </c>
      <c r="T13" s="4">
        <v>1</v>
      </c>
      <c r="U13" s="215">
        <f t="shared" si="1"/>
        <v>6</v>
      </c>
      <c r="V13" s="11">
        <v>4</v>
      </c>
      <c r="W13" s="11">
        <v>0</v>
      </c>
      <c r="X13" s="19">
        <v>0.23529411764705882</v>
      </c>
      <c r="Y13" s="20">
        <v>0.41666666666666669</v>
      </c>
      <c r="Z13" s="20">
        <v>0.23529411764705882</v>
      </c>
      <c r="AA13" s="21">
        <v>0.65196078431372551</v>
      </c>
      <c r="AB13" s="5" t="s">
        <v>45</v>
      </c>
      <c r="AD13" s="98" t="s">
        <v>107</v>
      </c>
      <c r="AE13" s="140">
        <v>2</v>
      </c>
      <c r="AF13" s="39">
        <v>8</v>
      </c>
      <c r="AG13" s="39">
        <v>6</v>
      </c>
      <c r="AH13" s="39">
        <v>3</v>
      </c>
      <c r="AI13" s="40">
        <v>3</v>
      </c>
      <c r="AJ13" s="40">
        <v>0</v>
      </c>
      <c r="AK13" s="40">
        <v>0</v>
      </c>
      <c r="AL13" s="39">
        <v>0</v>
      </c>
      <c r="AM13" s="40">
        <v>3</v>
      </c>
      <c r="AN13" s="40">
        <v>1</v>
      </c>
      <c r="AO13" s="40">
        <v>5</v>
      </c>
      <c r="AP13" s="40">
        <v>2</v>
      </c>
      <c r="AQ13" s="39">
        <v>0</v>
      </c>
      <c r="AR13" s="39">
        <v>0</v>
      </c>
      <c r="AS13" s="39">
        <v>0</v>
      </c>
      <c r="AT13" s="40">
        <v>1</v>
      </c>
      <c r="AU13" s="39">
        <v>1</v>
      </c>
      <c r="AV13" s="39">
        <f t="shared" si="2"/>
        <v>2</v>
      </c>
      <c r="AW13" s="39">
        <v>2</v>
      </c>
      <c r="AX13" s="32">
        <v>0</v>
      </c>
      <c r="AY13" s="19">
        <v>0.5</v>
      </c>
      <c r="AZ13" s="20">
        <v>0.625</v>
      </c>
      <c r="BA13" s="20">
        <v>0.5</v>
      </c>
      <c r="BB13" s="20">
        <v>1.125</v>
      </c>
      <c r="BC13" s="5" t="s">
        <v>45</v>
      </c>
      <c r="BE13" s="5"/>
      <c r="BF13" s="173"/>
      <c r="BG13" s="9"/>
      <c r="BH13" s="1"/>
      <c r="BI13" s="205"/>
      <c r="BJ13" s="205"/>
      <c r="BK13" s="238"/>
      <c r="BL13" s="205"/>
      <c r="BM13" s="205"/>
      <c r="BN13" s="205"/>
      <c r="BO13" s="205"/>
      <c r="BP13" s="238"/>
      <c r="BQ13" s="205"/>
      <c r="BR13" s="205"/>
      <c r="BS13" s="205"/>
      <c r="BT13" s="205"/>
      <c r="BU13" s="205"/>
      <c r="BV13" s="205"/>
      <c r="BW13" s="205"/>
      <c r="BX13" s="205"/>
      <c r="BY13" s="238">
        <f t="shared" si="0"/>
        <v>0</v>
      </c>
      <c r="BZ13" s="205"/>
      <c r="CA13" s="9"/>
      <c r="CB13" s="1"/>
      <c r="CC13" s="173"/>
      <c r="CD13" s="173"/>
      <c r="CE13" s="9"/>
      <c r="CF13" s="5"/>
      <c r="CH13" s="1" t="s">
        <v>380</v>
      </c>
      <c r="CI13" s="259" t="s">
        <v>381</v>
      </c>
      <c r="CJ13" s="9">
        <v>99</v>
      </c>
      <c r="CK13" s="1">
        <v>12</v>
      </c>
      <c r="CL13" s="259">
        <v>35</v>
      </c>
      <c r="CM13" s="259">
        <v>25</v>
      </c>
      <c r="CN13" s="277">
        <f t="shared" si="3"/>
        <v>9</v>
      </c>
      <c r="CO13" s="259">
        <v>6</v>
      </c>
      <c r="CP13" s="259">
        <v>3</v>
      </c>
      <c r="CQ13" s="259">
        <v>0</v>
      </c>
      <c r="CR13" s="259">
        <v>0</v>
      </c>
      <c r="CS13" s="259">
        <f t="shared" si="4"/>
        <v>12</v>
      </c>
      <c r="CT13" s="259">
        <v>9</v>
      </c>
      <c r="CU13" s="259">
        <v>4</v>
      </c>
      <c r="CV13" s="259">
        <v>1</v>
      </c>
      <c r="CW13" s="259">
        <v>0</v>
      </c>
      <c r="CX13" s="259">
        <v>0</v>
      </c>
      <c r="CY13" s="259">
        <v>3</v>
      </c>
      <c r="CZ13" s="259">
        <v>7</v>
      </c>
      <c r="DA13" s="259">
        <v>0</v>
      </c>
      <c r="DB13" s="259">
        <f t="shared" si="5"/>
        <v>7</v>
      </c>
      <c r="DC13" s="259">
        <v>10</v>
      </c>
      <c r="DD13" s="9">
        <v>0</v>
      </c>
      <c r="DE13" s="19">
        <f t="shared" si="6"/>
        <v>0.36</v>
      </c>
      <c r="DF13" s="20">
        <f t="shared" si="7"/>
        <v>0.45714285714285713</v>
      </c>
      <c r="DG13" s="20">
        <f t="shared" si="8"/>
        <v>0.48</v>
      </c>
      <c r="DH13" s="21">
        <f t="shared" si="9"/>
        <v>0.93714285714285706</v>
      </c>
      <c r="DI13" s="258" t="s">
        <v>606</v>
      </c>
      <c r="DK13" s="1" t="s">
        <v>45</v>
      </c>
      <c r="DL13" s="358" t="s">
        <v>253</v>
      </c>
      <c r="DM13" s="9">
        <v>99</v>
      </c>
      <c r="DN13" s="1">
        <v>3</v>
      </c>
      <c r="DO13" s="358">
        <v>9</v>
      </c>
      <c r="DP13" s="358">
        <v>4</v>
      </c>
      <c r="DQ13" s="358">
        <f t="shared" si="10"/>
        <v>0</v>
      </c>
      <c r="DR13" s="358">
        <v>0</v>
      </c>
      <c r="DS13" s="358">
        <v>0</v>
      </c>
      <c r="DT13" s="358">
        <v>0</v>
      </c>
      <c r="DU13" s="358">
        <v>0</v>
      </c>
      <c r="DV13" s="358">
        <f t="shared" si="11"/>
        <v>0</v>
      </c>
      <c r="DW13" s="358">
        <v>2</v>
      </c>
      <c r="DX13" s="358">
        <v>2</v>
      </c>
      <c r="DY13" s="358">
        <v>0</v>
      </c>
      <c r="DZ13" s="358">
        <v>0</v>
      </c>
      <c r="EA13" s="358">
        <v>0</v>
      </c>
      <c r="EB13" s="358">
        <v>0</v>
      </c>
      <c r="EC13" s="358">
        <v>4</v>
      </c>
      <c r="ED13" s="358">
        <v>1</v>
      </c>
      <c r="EE13" s="358">
        <f t="shared" si="12"/>
        <v>5</v>
      </c>
      <c r="EF13" s="358">
        <v>1</v>
      </c>
      <c r="EG13" s="9">
        <v>0</v>
      </c>
      <c r="EH13" s="19">
        <f t="shared" si="13"/>
        <v>0</v>
      </c>
      <c r="EI13" s="20">
        <f t="shared" si="14"/>
        <v>0.55555555555555558</v>
      </c>
      <c r="EJ13" s="20">
        <f t="shared" si="15"/>
        <v>0</v>
      </c>
      <c r="EK13" s="21">
        <f t="shared" si="16"/>
        <v>0.55555555555555558</v>
      </c>
      <c r="EL13" s="290" t="s">
        <v>45</v>
      </c>
    </row>
    <row r="14" spans="1:142" x14ac:dyDescent="0.3">
      <c r="A14" s="5" t="s">
        <v>0</v>
      </c>
      <c r="B14" s="1">
        <v>37</v>
      </c>
      <c r="C14" s="9" t="s">
        <v>40</v>
      </c>
      <c r="D14" s="11">
        <v>16</v>
      </c>
      <c r="E14" s="11">
        <v>46</v>
      </c>
      <c r="F14" s="11">
        <v>34</v>
      </c>
      <c r="G14" s="11">
        <v>18</v>
      </c>
      <c r="H14" s="18">
        <v>11</v>
      </c>
      <c r="I14" s="11">
        <v>7</v>
      </c>
      <c r="J14" s="11">
        <v>0</v>
      </c>
      <c r="K14" s="11">
        <v>0</v>
      </c>
      <c r="L14" s="11">
        <v>25</v>
      </c>
      <c r="M14" s="11">
        <v>21</v>
      </c>
      <c r="N14" s="11">
        <v>21</v>
      </c>
      <c r="O14" s="11">
        <v>8</v>
      </c>
      <c r="P14" s="11">
        <v>0</v>
      </c>
      <c r="Q14" s="11">
        <v>0</v>
      </c>
      <c r="R14" s="11">
        <v>2</v>
      </c>
      <c r="S14" s="11">
        <v>11</v>
      </c>
      <c r="T14" s="4">
        <v>0</v>
      </c>
      <c r="U14" s="215">
        <f t="shared" si="1"/>
        <v>11</v>
      </c>
      <c r="V14" s="11">
        <v>1</v>
      </c>
      <c r="W14" s="11">
        <v>0</v>
      </c>
      <c r="X14" s="19">
        <v>0.52941176470588236</v>
      </c>
      <c r="Y14" s="20">
        <v>0.61702127659574468</v>
      </c>
      <c r="Z14" s="20">
        <v>0.73529411764705888</v>
      </c>
      <c r="AA14" s="21">
        <v>1.3523153942428037</v>
      </c>
      <c r="AB14" s="5" t="s">
        <v>0</v>
      </c>
      <c r="AD14" s="98" t="s">
        <v>108</v>
      </c>
      <c r="AE14" s="140">
        <v>14</v>
      </c>
      <c r="AF14" s="39">
        <v>50</v>
      </c>
      <c r="AG14" s="39">
        <v>34</v>
      </c>
      <c r="AH14" s="39">
        <v>25</v>
      </c>
      <c r="AI14" s="40">
        <v>17</v>
      </c>
      <c r="AJ14" s="40">
        <v>6</v>
      </c>
      <c r="AK14" s="40">
        <v>2</v>
      </c>
      <c r="AL14" s="39">
        <v>0</v>
      </c>
      <c r="AM14" s="40">
        <v>35</v>
      </c>
      <c r="AN14" s="40">
        <v>14</v>
      </c>
      <c r="AO14" s="40">
        <v>29</v>
      </c>
      <c r="AP14" s="40">
        <v>18</v>
      </c>
      <c r="AQ14" s="39">
        <v>0</v>
      </c>
      <c r="AR14" s="39">
        <v>0</v>
      </c>
      <c r="AS14" s="39">
        <v>1</v>
      </c>
      <c r="AT14" s="40">
        <v>9</v>
      </c>
      <c r="AU14" s="39">
        <v>3</v>
      </c>
      <c r="AV14" s="39">
        <f t="shared" si="2"/>
        <v>12</v>
      </c>
      <c r="AW14" s="39">
        <v>1</v>
      </c>
      <c r="AX14" s="32">
        <v>0</v>
      </c>
      <c r="AY14" s="19">
        <v>0.72727272727272729</v>
      </c>
      <c r="AZ14" s="20">
        <v>0.77272727272727271</v>
      </c>
      <c r="BA14" s="20">
        <v>1.0303030303030303</v>
      </c>
      <c r="BB14" s="20">
        <v>1.803030303030303</v>
      </c>
      <c r="BC14" s="5" t="s">
        <v>0</v>
      </c>
      <c r="BE14" s="31" t="s">
        <v>280</v>
      </c>
      <c r="BF14" s="155" t="s">
        <v>252</v>
      </c>
      <c r="BG14" s="103">
        <v>37</v>
      </c>
      <c r="BH14" s="219">
        <v>12</v>
      </c>
      <c r="BI14" s="181">
        <v>39</v>
      </c>
      <c r="BJ14" s="181">
        <v>26</v>
      </c>
      <c r="BK14" s="242">
        <f>BL14+BM14+BN14+BO14</f>
        <v>14</v>
      </c>
      <c r="BL14" s="181">
        <v>9</v>
      </c>
      <c r="BM14" s="181">
        <v>3</v>
      </c>
      <c r="BN14" s="181">
        <v>2</v>
      </c>
      <c r="BO14" s="181">
        <v>0</v>
      </c>
      <c r="BP14" s="242">
        <f>BL14*1+BM14*2+BN14*3+BO14*4</f>
        <v>21</v>
      </c>
      <c r="BQ14" s="181">
        <v>11</v>
      </c>
      <c r="BR14" s="181">
        <v>24</v>
      </c>
      <c r="BS14" s="181">
        <v>7</v>
      </c>
      <c r="BT14" s="181">
        <v>0</v>
      </c>
      <c r="BU14" s="181">
        <v>0</v>
      </c>
      <c r="BV14" s="181">
        <v>0</v>
      </c>
      <c r="BW14" s="181">
        <v>10</v>
      </c>
      <c r="BX14" s="181">
        <v>2</v>
      </c>
      <c r="BY14" s="238">
        <f t="shared" si="0"/>
        <v>12</v>
      </c>
      <c r="BZ14" s="181">
        <v>3</v>
      </c>
      <c r="CA14" s="221">
        <v>0</v>
      </c>
      <c r="CB14" s="19">
        <f>BK14/BJ14</f>
        <v>0.53846153846153844</v>
      </c>
      <c r="CC14" s="20">
        <f>(BK14+BW14+BX14)/(BJ14+BW14+BX14+BV14+BU14)</f>
        <v>0.68421052631578949</v>
      </c>
      <c r="CD14" s="20">
        <f>((BL14*1)+(BM14*2)+(BN14*3)+(BO14*4))/BJ14</f>
        <v>0.80769230769230771</v>
      </c>
      <c r="CE14" s="21">
        <f>CC14+CD14</f>
        <v>1.4919028340080973</v>
      </c>
      <c r="CF14" s="31" t="s">
        <v>0</v>
      </c>
      <c r="CH14" s="1" t="s">
        <v>280</v>
      </c>
      <c r="CI14" s="259" t="s">
        <v>252</v>
      </c>
      <c r="CJ14" s="9">
        <v>37</v>
      </c>
      <c r="CK14" s="1">
        <v>13</v>
      </c>
      <c r="CL14" s="259">
        <v>39</v>
      </c>
      <c r="CM14" s="259">
        <v>30</v>
      </c>
      <c r="CN14" s="259">
        <f t="shared" si="3"/>
        <v>14</v>
      </c>
      <c r="CO14" s="259">
        <v>10</v>
      </c>
      <c r="CP14" s="259">
        <v>4</v>
      </c>
      <c r="CQ14" s="259">
        <v>0</v>
      </c>
      <c r="CR14" s="259">
        <v>0</v>
      </c>
      <c r="CS14" s="259">
        <f t="shared" si="4"/>
        <v>18</v>
      </c>
      <c r="CT14" s="259">
        <v>15</v>
      </c>
      <c r="CU14" s="259">
        <v>12</v>
      </c>
      <c r="CV14" s="259">
        <v>9</v>
      </c>
      <c r="CW14" s="259">
        <v>0</v>
      </c>
      <c r="CX14" s="259">
        <v>0</v>
      </c>
      <c r="CY14" s="259">
        <v>0</v>
      </c>
      <c r="CZ14" s="259">
        <v>8</v>
      </c>
      <c r="DA14" s="259">
        <v>1</v>
      </c>
      <c r="DB14" s="259">
        <f t="shared" si="5"/>
        <v>9</v>
      </c>
      <c r="DC14" s="259">
        <v>1</v>
      </c>
      <c r="DD14" s="9">
        <v>0</v>
      </c>
      <c r="DE14" s="19">
        <f t="shared" si="6"/>
        <v>0.46666666666666667</v>
      </c>
      <c r="DF14" s="20">
        <f t="shared" si="7"/>
        <v>0.58974358974358976</v>
      </c>
      <c r="DG14" s="20">
        <f t="shared" si="8"/>
        <v>0.6</v>
      </c>
      <c r="DH14" s="21">
        <f t="shared" si="9"/>
        <v>1.1897435897435897</v>
      </c>
      <c r="DI14" s="258" t="s">
        <v>0</v>
      </c>
      <c r="DK14" s="1" t="s">
        <v>0</v>
      </c>
      <c r="DL14" s="358" t="s">
        <v>252</v>
      </c>
      <c r="DM14" s="9">
        <v>37</v>
      </c>
      <c r="DN14" s="1">
        <v>2</v>
      </c>
      <c r="DO14" s="358">
        <v>8</v>
      </c>
      <c r="DP14" s="358">
        <v>3</v>
      </c>
      <c r="DQ14" s="358">
        <f t="shared" si="10"/>
        <v>2</v>
      </c>
      <c r="DR14" s="358">
        <v>2</v>
      </c>
      <c r="DS14" s="358">
        <v>0</v>
      </c>
      <c r="DT14" s="358">
        <v>0</v>
      </c>
      <c r="DU14" s="358">
        <v>0</v>
      </c>
      <c r="DV14" s="358">
        <f t="shared" si="11"/>
        <v>2</v>
      </c>
      <c r="DW14" s="358">
        <v>0</v>
      </c>
      <c r="DX14" s="358">
        <v>3</v>
      </c>
      <c r="DY14" s="358">
        <v>3</v>
      </c>
      <c r="DZ14" s="358">
        <v>0</v>
      </c>
      <c r="EA14" s="358">
        <v>0</v>
      </c>
      <c r="EB14" s="358">
        <v>0</v>
      </c>
      <c r="EC14" s="358">
        <v>4</v>
      </c>
      <c r="ED14" s="358">
        <v>1</v>
      </c>
      <c r="EE14" s="358">
        <f t="shared" si="12"/>
        <v>5</v>
      </c>
      <c r="EF14" s="358">
        <v>0</v>
      </c>
      <c r="EG14" s="9">
        <v>0</v>
      </c>
      <c r="EH14" s="19">
        <f t="shared" si="13"/>
        <v>0.66666666666666663</v>
      </c>
      <c r="EI14" s="20">
        <f t="shared" si="14"/>
        <v>0.875</v>
      </c>
      <c r="EJ14" s="20">
        <f t="shared" si="15"/>
        <v>0.66666666666666663</v>
      </c>
      <c r="EK14" s="21">
        <f t="shared" si="16"/>
        <v>1.5416666666666665</v>
      </c>
      <c r="EL14" s="290" t="s">
        <v>0</v>
      </c>
    </row>
    <row r="15" spans="1:142" x14ac:dyDescent="0.3">
      <c r="A15" s="5" t="s">
        <v>47</v>
      </c>
      <c r="B15" s="1">
        <v>4</v>
      </c>
      <c r="C15" s="9" t="s">
        <v>48</v>
      </c>
      <c r="D15" s="11">
        <v>1</v>
      </c>
      <c r="E15" s="11">
        <v>2</v>
      </c>
      <c r="F15" s="11">
        <v>1</v>
      </c>
      <c r="G15" s="11">
        <v>1</v>
      </c>
      <c r="H15" s="18">
        <v>0</v>
      </c>
      <c r="I15" s="11">
        <v>1</v>
      </c>
      <c r="J15" s="11">
        <v>0</v>
      </c>
      <c r="K15" s="11">
        <v>0</v>
      </c>
      <c r="L15" s="11">
        <v>2</v>
      </c>
      <c r="M15" s="11">
        <v>1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1</v>
      </c>
      <c r="T15" s="4">
        <v>0</v>
      </c>
      <c r="U15" s="215">
        <f t="shared" si="1"/>
        <v>1</v>
      </c>
      <c r="V15" s="11">
        <v>0</v>
      </c>
      <c r="W15" s="11">
        <v>0</v>
      </c>
      <c r="X15" s="19">
        <v>1</v>
      </c>
      <c r="Y15" s="20">
        <v>1</v>
      </c>
      <c r="Z15" s="20">
        <v>2</v>
      </c>
      <c r="AA15" s="21">
        <v>3</v>
      </c>
      <c r="AB15" s="5" t="s">
        <v>47</v>
      </c>
      <c r="AD15" s="1"/>
      <c r="AE15" s="45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121"/>
      <c r="AU15" s="46"/>
      <c r="AV15" s="39"/>
      <c r="AW15" s="46"/>
      <c r="AX15" s="47"/>
      <c r="AY15" s="1"/>
      <c r="AZ15" s="108"/>
      <c r="BA15" s="108"/>
      <c r="BB15" s="108"/>
      <c r="BC15" s="5"/>
      <c r="BE15" s="5"/>
      <c r="BF15" s="173"/>
      <c r="BG15" s="9"/>
      <c r="BH15" s="1"/>
      <c r="BI15" s="205"/>
      <c r="BJ15" s="205"/>
      <c r="BK15" s="238"/>
      <c r="BL15" s="205"/>
      <c r="BM15" s="205"/>
      <c r="BN15" s="205"/>
      <c r="BO15" s="205"/>
      <c r="BP15" s="238"/>
      <c r="BQ15" s="205"/>
      <c r="BR15" s="205"/>
      <c r="BS15" s="205"/>
      <c r="BT15" s="205"/>
      <c r="BU15" s="205"/>
      <c r="BV15" s="205"/>
      <c r="BW15" s="205"/>
      <c r="BX15" s="205"/>
      <c r="BY15" s="238">
        <f t="shared" si="0"/>
        <v>0</v>
      </c>
      <c r="BZ15" s="205"/>
      <c r="CA15" s="9"/>
      <c r="CB15" s="1"/>
      <c r="CC15" s="173"/>
      <c r="CD15" s="173"/>
      <c r="CE15" s="9"/>
      <c r="CF15" s="5"/>
      <c r="CH15" s="1"/>
      <c r="CI15" s="259"/>
      <c r="CJ15" s="9"/>
      <c r="CK15" s="1"/>
      <c r="CL15" s="259"/>
      <c r="CM15" s="259"/>
      <c r="CN15" s="259"/>
      <c r="CO15" s="259"/>
      <c r="CP15" s="259"/>
      <c r="CQ15" s="259"/>
      <c r="CR15" s="259"/>
      <c r="CS15" s="259"/>
      <c r="CT15" s="259"/>
      <c r="CU15" s="259"/>
      <c r="CV15" s="259"/>
      <c r="CW15" s="259"/>
      <c r="CX15" s="259"/>
      <c r="CY15" s="259"/>
      <c r="CZ15" s="259"/>
      <c r="DA15" s="259"/>
      <c r="DB15" s="259">
        <f t="shared" si="5"/>
        <v>0</v>
      </c>
      <c r="DC15" s="259"/>
      <c r="DD15" s="9"/>
      <c r="DE15" s="19"/>
      <c r="DF15" s="20"/>
      <c r="DG15" s="20"/>
      <c r="DH15" s="21"/>
      <c r="DI15" s="258"/>
      <c r="DK15" s="1"/>
      <c r="DL15" s="358"/>
      <c r="DM15" s="9"/>
      <c r="DN15" s="1"/>
      <c r="DO15" s="358"/>
      <c r="DP15" s="358"/>
      <c r="DQ15" s="358"/>
      <c r="DR15" s="358"/>
      <c r="DS15" s="358"/>
      <c r="DT15" s="358"/>
      <c r="DU15" s="358"/>
      <c r="DV15" s="358"/>
      <c r="DW15" s="358"/>
      <c r="DX15" s="358"/>
      <c r="DY15" s="358"/>
      <c r="DZ15" s="358"/>
      <c r="EA15" s="358"/>
      <c r="EB15" s="358"/>
      <c r="EC15" s="358"/>
      <c r="ED15" s="358"/>
      <c r="EE15" s="358">
        <f t="shared" si="12"/>
        <v>0</v>
      </c>
      <c r="EF15" s="358"/>
      <c r="EG15" s="9"/>
      <c r="EH15" s="19"/>
      <c r="EI15" s="20"/>
      <c r="EJ15" s="20"/>
      <c r="EK15" s="21"/>
      <c r="EL15" s="290"/>
    </row>
    <row r="16" spans="1:142" x14ac:dyDescent="0.3">
      <c r="A16" s="5" t="s">
        <v>49</v>
      </c>
      <c r="B16" s="1">
        <v>35</v>
      </c>
      <c r="C16" s="9" t="s">
        <v>50</v>
      </c>
      <c r="D16" s="11">
        <v>10</v>
      </c>
      <c r="E16" s="11">
        <v>23</v>
      </c>
      <c r="F16" s="11">
        <v>19</v>
      </c>
      <c r="G16" s="11">
        <v>6</v>
      </c>
      <c r="H16" s="18">
        <v>5</v>
      </c>
      <c r="I16" s="11">
        <v>1</v>
      </c>
      <c r="J16" s="11">
        <v>0</v>
      </c>
      <c r="K16" s="11">
        <v>0</v>
      </c>
      <c r="L16" s="11">
        <v>7</v>
      </c>
      <c r="M16" s="11">
        <v>5</v>
      </c>
      <c r="N16" s="11">
        <v>8</v>
      </c>
      <c r="O16" s="11">
        <v>3</v>
      </c>
      <c r="P16" s="11">
        <v>0</v>
      </c>
      <c r="Q16" s="11">
        <v>0</v>
      </c>
      <c r="R16" s="11">
        <v>0</v>
      </c>
      <c r="S16" s="11">
        <v>2</v>
      </c>
      <c r="T16" s="4">
        <v>2</v>
      </c>
      <c r="U16" s="215">
        <f t="shared" si="1"/>
        <v>4</v>
      </c>
      <c r="V16" s="11">
        <v>8</v>
      </c>
      <c r="W16" s="11">
        <v>0</v>
      </c>
      <c r="X16" s="19">
        <v>0.31578947368421051</v>
      </c>
      <c r="Y16" s="20">
        <v>0.43478260869565216</v>
      </c>
      <c r="Z16" s="20">
        <v>0.36842105263157893</v>
      </c>
      <c r="AA16" s="21">
        <v>0.80320366132723109</v>
      </c>
      <c r="AB16" s="5" t="s">
        <v>49</v>
      </c>
      <c r="AD16" s="1"/>
      <c r="AE16" s="45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121"/>
      <c r="AU16" s="46"/>
      <c r="AV16" s="39"/>
      <c r="AW16" s="46"/>
      <c r="AX16" s="47"/>
      <c r="AY16" s="1"/>
      <c r="AZ16" s="108"/>
      <c r="BA16" s="108"/>
      <c r="BB16" s="108"/>
      <c r="BC16" s="5"/>
      <c r="BE16" s="5" t="s">
        <v>49</v>
      </c>
      <c r="BF16" s="173" t="s">
        <v>325</v>
      </c>
      <c r="BG16" s="9">
        <v>35</v>
      </c>
      <c r="BH16" s="1">
        <v>7</v>
      </c>
      <c r="BI16" s="205">
        <v>20</v>
      </c>
      <c r="BJ16" s="205">
        <v>19</v>
      </c>
      <c r="BK16" s="242">
        <f>BL16+BM16+BN16+BO16</f>
        <v>8</v>
      </c>
      <c r="BL16" s="205">
        <v>5</v>
      </c>
      <c r="BM16" s="205">
        <v>1</v>
      </c>
      <c r="BN16" s="205">
        <v>2</v>
      </c>
      <c r="BO16" s="205">
        <v>0</v>
      </c>
      <c r="BP16" s="242">
        <f>BL16*1+BM16*2+BN16*3+BO16*4</f>
        <v>13</v>
      </c>
      <c r="BQ16" s="205">
        <v>9</v>
      </c>
      <c r="BR16" s="205">
        <v>6</v>
      </c>
      <c r="BS16" s="205">
        <v>2</v>
      </c>
      <c r="BT16" s="205">
        <v>0</v>
      </c>
      <c r="BU16" s="205">
        <v>0</v>
      </c>
      <c r="BV16" s="205">
        <v>0</v>
      </c>
      <c r="BW16" s="205">
        <v>0</v>
      </c>
      <c r="BX16" s="205">
        <v>1</v>
      </c>
      <c r="BY16" s="238">
        <f t="shared" si="0"/>
        <v>1</v>
      </c>
      <c r="BZ16" s="205">
        <v>4</v>
      </c>
      <c r="CA16" s="9">
        <v>0</v>
      </c>
      <c r="CB16" s="19">
        <f>BK16/BJ16</f>
        <v>0.42105263157894735</v>
      </c>
      <c r="CC16" s="20">
        <f>(BK16+BW16+BX16)/(BJ16+BW16+BX16+BV16+BU16)</f>
        <v>0.45</v>
      </c>
      <c r="CD16" s="20">
        <f>((BL16*1)+(BM16*2)+(BN16*3)+(BO16*4))/BJ16</f>
        <v>0.68421052631578949</v>
      </c>
      <c r="CE16" s="21">
        <f>CC16+CD16</f>
        <v>1.1342105263157896</v>
      </c>
      <c r="CF16" s="5" t="s">
        <v>49</v>
      </c>
      <c r="CH16" s="1" t="s">
        <v>49</v>
      </c>
      <c r="CI16" s="259" t="s">
        <v>252</v>
      </c>
      <c r="CJ16" s="9">
        <v>35</v>
      </c>
      <c r="CK16" s="1">
        <v>17</v>
      </c>
      <c r="CL16" s="259">
        <v>49</v>
      </c>
      <c r="CM16" s="259">
        <v>47</v>
      </c>
      <c r="CN16" s="301">
        <f>CO16+CP16+CQ16+CR16</f>
        <v>18</v>
      </c>
      <c r="CO16" s="259">
        <v>16</v>
      </c>
      <c r="CP16" s="259">
        <v>2</v>
      </c>
      <c r="CQ16" s="259">
        <v>0</v>
      </c>
      <c r="CR16" s="259">
        <v>0</v>
      </c>
      <c r="CS16" s="259">
        <f>CO16*1+CP16*2+CQ16*3+CR16*4</f>
        <v>20</v>
      </c>
      <c r="CT16" s="259">
        <v>11</v>
      </c>
      <c r="CU16" s="259">
        <v>11</v>
      </c>
      <c r="CV16" s="259">
        <v>11</v>
      </c>
      <c r="CW16" s="259">
        <v>0</v>
      </c>
      <c r="CX16" s="259">
        <v>0</v>
      </c>
      <c r="CY16" s="259">
        <v>0</v>
      </c>
      <c r="CZ16" s="259">
        <v>1</v>
      </c>
      <c r="DA16" s="259">
        <v>1</v>
      </c>
      <c r="DB16" s="259">
        <f t="shared" si="5"/>
        <v>2</v>
      </c>
      <c r="DC16" s="259">
        <v>16</v>
      </c>
      <c r="DD16" s="9">
        <v>1</v>
      </c>
      <c r="DE16" s="19">
        <f>CN16/CM16</f>
        <v>0.38297872340425532</v>
      </c>
      <c r="DF16" s="20">
        <f>(CN16+CZ16+DA16)/(CM16+CZ16+DA16+CY16+CX16)</f>
        <v>0.40816326530612246</v>
      </c>
      <c r="DG16" s="20">
        <f>((CO16*1)+(CP16*2)+(CQ16*3)+(CR16*4))/CM16</f>
        <v>0.42553191489361702</v>
      </c>
      <c r="DH16" s="21">
        <f>DF16+DG16</f>
        <v>0.83369518019973943</v>
      </c>
      <c r="DI16" s="258" t="s">
        <v>49</v>
      </c>
      <c r="DJ16" s="4" t="s">
        <v>605</v>
      </c>
      <c r="DK16" s="1" t="s">
        <v>49</v>
      </c>
      <c r="DL16" s="358" t="s">
        <v>252</v>
      </c>
      <c r="DM16" s="9">
        <v>35</v>
      </c>
      <c r="DN16" s="1"/>
      <c r="DO16" s="358"/>
      <c r="DP16" s="358"/>
      <c r="DQ16" s="358">
        <f>DR16+DS16+DT16+DU16</f>
        <v>0</v>
      </c>
      <c r="DR16" s="358"/>
      <c r="DS16" s="358"/>
      <c r="DT16" s="358"/>
      <c r="DU16" s="358"/>
      <c r="DV16" s="358">
        <f>DR16*1+DS16*2+DT16*3+DU16*4</f>
        <v>0</v>
      </c>
      <c r="DW16" s="358"/>
      <c r="DX16" s="358"/>
      <c r="DY16" s="358"/>
      <c r="DZ16" s="358"/>
      <c r="EA16" s="358"/>
      <c r="EB16" s="358"/>
      <c r="EC16" s="358"/>
      <c r="ED16" s="358"/>
      <c r="EE16" s="358">
        <f t="shared" si="12"/>
        <v>0</v>
      </c>
      <c r="EF16" s="358"/>
      <c r="EG16" s="9"/>
      <c r="EH16" s="19" t="e">
        <f>DQ16/DP16</f>
        <v>#DIV/0!</v>
      </c>
      <c r="EI16" s="20" t="e">
        <f>(DQ16+EC16+ED16)/(DP16+EC16+ED16+EB16+EA16)</f>
        <v>#DIV/0!</v>
      </c>
      <c r="EJ16" s="20" t="e">
        <f>((DR16*1)+(DS16*2)+(DT16*3)+(DU16*4))/DP16</f>
        <v>#DIV/0!</v>
      </c>
      <c r="EK16" s="21" t="e">
        <f>EI16+EJ16</f>
        <v>#DIV/0!</v>
      </c>
      <c r="EL16" s="290" t="s">
        <v>49</v>
      </c>
    </row>
    <row r="17" spans="1:142" x14ac:dyDescent="0.3">
      <c r="A17" s="5" t="s">
        <v>3</v>
      </c>
      <c r="B17" s="1">
        <v>64</v>
      </c>
      <c r="C17" s="9" t="s">
        <v>4</v>
      </c>
      <c r="D17" s="11">
        <v>5</v>
      </c>
      <c r="E17" s="11">
        <v>9</v>
      </c>
      <c r="F17" s="11">
        <v>6</v>
      </c>
      <c r="G17" s="11">
        <v>2</v>
      </c>
      <c r="H17" s="18">
        <v>2</v>
      </c>
      <c r="I17" s="11">
        <v>0</v>
      </c>
      <c r="J17" s="11">
        <v>0</v>
      </c>
      <c r="K17" s="11">
        <v>0</v>
      </c>
      <c r="L17" s="11">
        <v>2</v>
      </c>
      <c r="M17" s="11">
        <v>1</v>
      </c>
      <c r="N17" s="11">
        <v>6</v>
      </c>
      <c r="O17" s="11">
        <v>8</v>
      </c>
      <c r="P17" s="11">
        <v>0</v>
      </c>
      <c r="Q17" s="11">
        <v>0</v>
      </c>
      <c r="R17" s="11">
        <v>0</v>
      </c>
      <c r="S17" s="11">
        <v>3</v>
      </c>
      <c r="T17" s="4">
        <v>0</v>
      </c>
      <c r="U17" s="215">
        <f t="shared" si="1"/>
        <v>3</v>
      </c>
      <c r="V17" s="11">
        <v>1</v>
      </c>
      <c r="W17" s="11">
        <v>0</v>
      </c>
      <c r="X17" s="19">
        <v>0.33333333333333331</v>
      </c>
      <c r="Y17" s="20">
        <v>0.55555555555555558</v>
      </c>
      <c r="Z17" s="20">
        <v>0.33333333333333331</v>
      </c>
      <c r="AA17" s="21">
        <v>0.88888888888888884</v>
      </c>
      <c r="AB17" s="5" t="s">
        <v>52</v>
      </c>
      <c r="AD17" s="98" t="s">
        <v>3</v>
      </c>
      <c r="AE17" s="140">
        <v>8</v>
      </c>
      <c r="AF17" s="39">
        <v>21</v>
      </c>
      <c r="AG17" s="39">
        <v>19</v>
      </c>
      <c r="AH17" s="39">
        <v>9</v>
      </c>
      <c r="AI17" s="40">
        <v>8</v>
      </c>
      <c r="AJ17" s="40">
        <v>1</v>
      </c>
      <c r="AK17" s="40">
        <v>0</v>
      </c>
      <c r="AL17" s="39">
        <v>0</v>
      </c>
      <c r="AM17" s="40">
        <v>10</v>
      </c>
      <c r="AN17" s="40">
        <v>7</v>
      </c>
      <c r="AO17" s="40">
        <v>3</v>
      </c>
      <c r="AP17" s="40">
        <v>5</v>
      </c>
      <c r="AQ17" s="39">
        <v>0</v>
      </c>
      <c r="AR17" s="39">
        <v>0</v>
      </c>
      <c r="AS17" s="39">
        <v>0</v>
      </c>
      <c r="AT17" s="40">
        <v>2</v>
      </c>
      <c r="AU17" s="39">
        <v>0</v>
      </c>
      <c r="AV17" s="39">
        <f t="shared" si="2"/>
        <v>2</v>
      </c>
      <c r="AW17" s="39">
        <v>5</v>
      </c>
      <c r="AX17" s="32">
        <v>0</v>
      </c>
      <c r="AY17" s="19">
        <v>0.5</v>
      </c>
      <c r="AZ17" s="20">
        <v>0.55555555555555558</v>
      </c>
      <c r="BA17" s="20">
        <v>0.5625</v>
      </c>
      <c r="BB17" s="20">
        <v>1.1180555555555556</v>
      </c>
      <c r="BC17" s="5" t="s">
        <v>3</v>
      </c>
      <c r="BE17" s="31" t="s">
        <v>281</v>
      </c>
      <c r="BF17" s="155" t="s">
        <v>278</v>
      </c>
      <c r="BG17" s="103">
        <v>64</v>
      </c>
      <c r="BH17" s="219">
        <v>15</v>
      </c>
      <c r="BI17" s="181">
        <v>51</v>
      </c>
      <c r="BJ17" s="181">
        <v>48</v>
      </c>
      <c r="BK17" s="242">
        <f>BL17+BM17+BN17+BO17</f>
        <v>23</v>
      </c>
      <c r="BL17" s="181">
        <v>23</v>
      </c>
      <c r="BM17" s="181">
        <v>0</v>
      </c>
      <c r="BN17" s="181">
        <v>0</v>
      </c>
      <c r="BO17" s="181">
        <v>0</v>
      </c>
      <c r="BP17" s="242">
        <f>BL17*1+BM17*2+BN17*3+BO17*4</f>
        <v>23</v>
      </c>
      <c r="BQ17" s="181">
        <v>11</v>
      </c>
      <c r="BR17" s="181">
        <v>18</v>
      </c>
      <c r="BS17" s="181">
        <v>15</v>
      </c>
      <c r="BT17" s="181">
        <v>0</v>
      </c>
      <c r="BU17" s="181">
        <v>0</v>
      </c>
      <c r="BV17" s="181">
        <v>0</v>
      </c>
      <c r="BW17" s="181">
        <v>3</v>
      </c>
      <c r="BX17" s="181">
        <v>0</v>
      </c>
      <c r="BY17" s="238">
        <f t="shared" si="0"/>
        <v>3</v>
      </c>
      <c r="BZ17" s="181">
        <v>8</v>
      </c>
      <c r="CA17" s="221">
        <v>0</v>
      </c>
      <c r="CB17" s="19">
        <f>BK17/BJ17</f>
        <v>0.47916666666666669</v>
      </c>
      <c r="CC17" s="20">
        <f>(BK17+BW17+BX17)/(BJ17+BW17+BX17+BV17+BU17)</f>
        <v>0.50980392156862742</v>
      </c>
      <c r="CD17" s="20">
        <f>((BL17*1)+(BM17*2)+(BN17*3)+(BO17*4))/BJ17</f>
        <v>0.47916666666666669</v>
      </c>
      <c r="CE17" s="21">
        <f>CC17+CD17</f>
        <v>0.98897058823529416</v>
      </c>
      <c r="CF17" s="31" t="s">
        <v>3</v>
      </c>
      <c r="CH17" s="1" t="s">
        <v>3</v>
      </c>
      <c r="CI17" s="259" t="s">
        <v>252</v>
      </c>
      <c r="CJ17" s="9">
        <v>64</v>
      </c>
      <c r="CK17" s="1">
        <v>17</v>
      </c>
      <c r="CL17" s="259">
        <v>41</v>
      </c>
      <c r="CM17" s="259">
        <v>36</v>
      </c>
      <c r="CN17" s="259">
        <f>CO17+CP17+CQ17+CR17</f>
        <v>13</v>
      </c>
      <c r="CO17" s="259">
        <v>13</v>
      </c>
      <c r="CP17" s="259">
        <v>0</v>
      </c>
      <c r="CQ17" s="259">
        <v>0</v>
      </c>
      <c r="CR17" s="259">
        <v>0</v>
      </c>
      <c r="CS17" s="259">
        <f>CO17*1+CP17*2+CQ17*3+CR17*4</f>
        <v>13</v>
      </c>
      <c r="CT17" s="259">
        <v>6</v>
      </c>
      <c r="CU17" s="259">
        <v>14</v>
      </c>
      <c r="CV17" s="259">
        <v>18</v>
      </c>
      <c r="CW17" s="259">
        <v>0</v>
      </c>
      <c r="CX17" s="259">
        <v>0</v>
      </c>
      <c r="CY17" s="259">
        <v>0</v>
      </c>
      <c r="CZ17" s="259">
        <v>3</v>
      </c>
      <c r="DA17" s="259">
        <v>2</v>
      </c>
      <c r="DB17" s="259">
        <f t="shared" si="5"/>
        <v>5</v>
      </c>
      <c r="DC17" s="259">
        <v>4</v>
      </c>
      <c r="DD17" s="9">
        <v>0</v>
      </c>
      <c r="DE17" s="19">
        <f>CN17/CM17</f>
        <v>0.3611111111111111</v>
      </c>
      <c r="DF17" s="20">
        <f>(CN17+CZ17+DA17)/(CM17+CZ17+DA17+CY17+CX17)</f>
        <v>0.43902439024390244</v>
      </c>
      <c r="DG17" s="20">
        <f>((CO17*1)+(CP17*2)+(CQ17*3)+(CR17*4))/CM17</f>
        <v>0.3611111111111111</v>
      </c>
      <c r="DH17" s="21">
        <f>DF17+DG17</f>
        <v>0.80013550135501355</v>
      </c>
      <c r="DI17" s="258" t="s">
        <v>3</v>
      </c>
      <c r="DK17" s="1" t="s">
        <v>3</v>
      </c>
      <c r="DL17" s="358" t="s">
        <v>252</v>
      </c>
      <c r="DM17" s="9">
        <v>64</v>
      </c>
      <c r="DN17" s="1">
        <v>3</v>
      </c>
      <c r="DO17" s="358">
        <v>9</v>
      </c>
      <c r="DP17" s="358">
        <v>8</v>
      </c>
      <c r="DQ17" s="358">
        <f>DR17+DS17+DT17+DU17</f>
        <v>1</v>
      </c>
      <c r="DR17" s="358">
        <v>1</v>
      </c>
      <c r="DS17" s="358">
        <v>0</v>
      </c>
      <c r="DT17" s="358">
        <v>0</v>
      </c>
      <c r="DU17" s="358">
        <v>0</v>
      </c>
      <c r="DV17" s="358">
        <f>DR17*1+DS17*2+DT17*3+DU17*4</f>
        <v>1</v>
      </c>
      <c r="DW17" s="358">
        <v>0</v>
      </c>
      <c r="DX17" s="358">
        <v>0</v>
      </c>
      <c r="DY17" s="358">
        <v>2</v>
      </c>
      <c r="DZ17" s="358">
        <v>0</v>
      </c>
      <c r="EA17" s="358">
        <v>0</v>
      </c>
      <c r="EB17" s="358">
        <v>0</v>
      </c>
      <c r="EC17" s="358">
        <v>0</v>
      </c>
      <c r="ED17" s="358">
        <v>1</v>
      </c>
      <c r="EE17" s="358">
        <f t="shared" si="12"/>
        <v>1</v>
      </c>
      <c r="EF17" s="358">
        <v>0</v>
      </c>
      <c r="EG17" s="9">
        <v>1</v>
      </c>
      <c r="EH17" s="19">
        <f>DQ17/DP17</f>
        <v>0.125</v>
      </c>
      <c r="EI17" s="20">
        <f>(DQ17+EC17+ED17)/(DP17+EC17+ED17+EB17+EA17)</f>
        <v>0.22222222222222221</v>
      </c>
      <c r="EJ17" s="20">
        <f>((DR17*1)+(DS17*2)+(DT17*3)+(DU17*4))/DP17</f>
        <v>0.125</v>
      </c>
      <c r="EK17" s="21">
        <f>EI17+EJ17</f>
        <v>0.34722222222222221</v>
      </c>
      <c r="EL17" s="290" t="s">
        <v>3</v>
      </c>
    </row>
    <row r="18" spans="1:142" x14ac:dyDescent="0.3">
      <c r="A18" s="5" t="s">
        <v>53</v>
      </c>
      <c r="B18" s="1">
        <v>5</v>
      </c>
      <c r="C18" s="9" t="s">
        <v>54</v>
      </c>
      <c r="D18" s="11">
        <v>14</v>
      </c>
      <c r="E18" s="11">
        <v>32</v>
      </c>
      <c r="F18" s="11">
        <v>24</v>
      </c>
      <c r="G18" s="11">
        <v>7</v>
      </c>
      <c r="H18" s="18">
        <v>6</v>
      </c>
      <c r="I18" s="11">
        <v>1</v>
      </c>
      <c r="J18" s="11">
        <v>0</v>
      </c>
      <c r="K18" s="11">
        <v>0</v>
      </c>
      <c r="L18" s="11">
        <v>8</v>
      </c>
      <c r="M18" s="11">
        <v>4</v>
      </c>
      <c r="N18" s="11">
        <v>8</v>
      </c>
      <c r="O18" s="11">
        <v>7</v>
      </c>
      <c r="P18" s="11">
        <v>1</v>
      </c>
      <c r="Q18" s="11">
        <v>0</v>
      </c>
      <c r="R18" s="11">
        <v>0</v>
      </c>
      <c r="S18" s="11">
        <v>6</v>
      </c>
      <c r="T18" s="4">
        <v>1</v>
      </c>
      <c r="U18" s="215">
        <f t="shared" si="1"/>
        <v>7</v>
      </c>
      <c r="V18" s="11">
        <v>5</v>
      </c>
      <c r="W18" s="11">
        <v>1</v>
      </c>
      <c r="X18" s="19">
        <v>0.29166666666666669</v>
      </c>
      <c r="Y18" s="20">
        <v>0.45161290322580644</v>
      </c>
      <c r="Z18" s="20">
        <v>0.33333333333333331</v>
      </c>
      <c r="AA18" s="21">
        <v>0.78494623655913975</v>
      </c>
      <c r="AB18" s="5" t="s">
        <v>53</v>
      </c>
      <c r="AD18" s="98" t="s">
        <v>109</v>
      </c>
      <c r="AE18" s="140">
        <v>16</v>
      </c>
      <c r="AF18" s="39">
        <v>46</v>
      </c>
      <c r="AG18" s="39">
        <v>39</v>
      </c>
      <c r="AH18" s="39">
        <v>18</v>
      </c>
      <c r="AI18" s="40">
        <v>15</v>
      </c>
      <c r="AJ18" s="40">
        <v>3</v>
      </c>
      <c r="AK18" s="40">
        <v>0</v>
      </c>
      <c r="AL18" s="39">
        <v>0</v>
      </c>
      <c r="AM18" s="40">
        <v>21</v>
      </c>
      <c r="AN18" s="40">
        <v>9</v>
      </c>
      <c r="AO18" s="40">
        <v>12</v>
      </c>
      <c r="AP18" s="40">
        <v>8</v>
      </c>
      <c r="AQ18" s="39">
        <v>0</v>
      </c>
      <c r="AR18" s="39">
        <v>0</v>
      </c>
      <c r="AS18" s="39">
        <v>0</v>
      </c>
      <c r="AT18" s="40">
        <v>4</v>
      </c>
      <c r="AU18" s="39">
        <v>2</v>
      </c>
      <c r="AV18" s="39">
        <f t="shared" si="2"/>
        <v>6</v>
      </c>
      <c r="AW18" s="39">
        <v>8</v>
      </c>
      <c r="AX18" s="32">
        <v>0</v>
      </c>
      <c r="AY18" s="19">
        <v>0.47368421052631576</v>
      </c>
      <c r="AZ18" s="20">
        <v>0.54545454545454541</v>
      </c>
      <c r="BA18" s="20">
        <v>0.55263157894736847</v>
      </c>
      <c r="BB18" s="20">
        <v>1.098086124401914</v>
      </c>
      <c r="BC18" s="5" t="s">
        <v>53</v>
      </c>
      <c r="BE18" s="31" t="s">
        <v>282</v>
      </c>
      <c r="BF18" s="155" t="s">
        <v>253</v>
      </c>
      <c r="BG18" s="103">
        <v>5</v>
      </c>
      <c r="BH18" s="219">
        <v>12</v>
      </c>
      <c r="BI18" s="181">
        <v>38</v>
      </c>
      <c r="BJ18" s="181">
        <v>32</v>
      </c>
      <c r="BK18" s="242">
        <f>BL18+BM18+BN18+BO18</f>
        <v>15</v>
      </c>
      <c r="BL18" s="181">
        <v>13</v>
      </c>
      <c r="BM18" s="181">
        <v>2</v>
      </c>
      <c r="BN18" s="181">
        <v>0</v>
      </c>
      <c r="BO18" s="181">
        <v>0</v>
      </c>
      <c r="BP18" s="242">
        <f>BL18*1+BM18*2+BN18*3+BO18*4</f>
        <v>17</v>
      </c>
      <c r="BQ18" s="181">
        <v>13</v>
      </c>
      <c r="BR18" s="181">
        <v>16</v>
      </c>
      <c r="BS18" s="181">
        <v>8</v>
      </c>
      <c r="BT18" s="181">
        <v>0</v>
      </c>
      <c r="BU18" s="181">
        <v>0</v>
      </c>
      <c r="BV18" s="181">
        <v>1</v>
      </c>
      <c r="BW18" s="181">
        <v>4</v>
      </c>
      <c r="BX18" s="181">
        <v>1</v>
      </c>
      <c r="BY18" s="238">
        <f t="shared" si="0"/>
        <v>5</v>
      </c>
      <c r="BZ18" s="181">
        <v>5</v>
      </c>
      <c r="CA18" s="221">
        <v>0</v>
      </c>
      <c r="CB18" s="19">
        <f>BK18/BJ18</f>
        <v>0.46875</v>
      </c>
      <c r="CC18" s="20">
        <f>(BK18+BW18+BX18)/(BJ18+BW18+BX18+BV18+BU18)</f>
        <v>0.52631578947368418</v>
      </c>
      <c r="CD18" s="20">
        <f>((BL18*1)+(BM18*2)+(BN18*3)+(BO18*4))/BJ18</f>
        <v>0.53125</v>
      </c>
      <c r="CE18" s="21">
        <f>CC18+CD18</f>
        <v>1.0575657894736841</v>
      </c>
      <c r="CF18" s="31" t="s">
        <v>53</v>
      </c>
      <c r="CH18" s="1" t="s">
        <v>53</v>
      </c>
      <c r="CI18" s="259" t="s">
        <v>252</v>
      </c>
      <c r="CJ18" s="9">
        <v>5</v>
      </c>
      <c r="CK18" s="1">
        <v>9</v>
      </c>
      <c r="CL18" s="259">
        <v>17</v>
      </c>
      <c r="CM18" s="259">
        <v>12</v>
      </c>
      <c r="CN18" s="259">
        <f>CO18+CP18+CQ18+CR18</f>
        <v>3</v>
      </c>
      <c r="CO18" s="259">
        <v>2</v>
      </c>
      <c r="CP18" s="259">
        <v>1</v>
      </c>
      <c r="CQ18" s="259">
        <v>0</v>
      </c>
      <c r="CR18" s="259">
        <v>0</v>
      </c>
      <c r="CS18" s="259">
        <f>CO18*1+CP18*2+CQ18*3+CR18*4</f>
        <v>4</v>
      </c>
      <c r="CT18" s="259">
        <v>5</v>
      </c>
      <c r="CU18" s="259">
        <v>4</v>
      </c>
      <c r="CV18" s="259">
        <v>3</v>
      </c>
      <c r="CW18" s="259">
        <v>0</v>
      </c>
      <c r="CX18" s="259">
        <v>0</v>
      </c>
      <c r="CY18" s="259">
        <v>1</v>
      </c>
      <c r="CZ18" s="259">
        <v>4</v>
      </c>
      <c r="DA18" s="259">
        <v>0</v>
      </c>
      <c r="DB18" s="259">
        <f t="shared" si="5"/>
        <v>4</v>
      </c>
      <c r="DC18" s="259">
        <v>6</v>
      </c>
      <c r="DD18" s="9">
        <v>0</v>
      </c>
      <c r="DE18" s="19">
        <f>CN18/CM18</f>
        <v>0.25</v>
      </c>
      <c r="DF18" s="20">
        <f>(CN18+CZ18+DA18)/(CM18+CZ18+DA18+CY18+CX18)</f>
        <v>0.41176470588235292</v>
      </c>
      <c r="DG18" s="20">
        <f>((CO18*1)+(CP18*2)+(CQ18*3)+(CR18*4))/CM18</f>
        <v>0.33333333333333331</v>
      </c>
      <c r="DH18" s="21">
        <f>DF18+DG18</f>
        <v>0.74509803921568629</v>
      </c>
      <c r="DI18" s="258" t="s">
        <v>53</v>
      </c>
      <c r="DK18" s="1" t="s">
        <v>53</v>
      </c>
      <c r="DL18" s="358" t="s">
        <v>252</v>
      </c>
      <c r="DM18" s="9">
        <v>5</v>
      </c>
      <c r="DN18" s="1">
        <v>1</v>
      </c>
      <c r="DO18" s="358">
        <v>3</v>
      </c>
      <c r="DP18" s="358">
        <v>3</v>
      </c>
      <c r="DQ18" s="358">
        <f>DR18+DS18+DT18+DU18</f>
        <v>1</v>
      </c>
      <c r="DR18" s="358">
        <v>0</v>
      </c>
      <c r="DS18" s="358">
        <v>1</v>
      </c>
      <c r="DT18" s="358">
        <v>0</v>
      </c>
      <c r="DU18" s="358">
        <v>0</v>
      </c>
      <c r="DV18" s="358">
        <f>DR18*1+DS18*2+DT18*3+DU18*4</f>
        <v>2</v>
      </c>
      <c r="DW18" s="358">
        <v>1</v>
      </c>
      <c r="DX18" s="358">
        <v>1</v>
      </c>
      <c r="DY18" s="358">
        <v>0</v>
      </c>
      <c r="DZ18" s="358">
        <v>0</v>
      </c>
      <c r="EA18" s="358">
        <v>0</v>
      </c>
      <c r="EB18" s="358">
        <v>0</v>
      </c>
      <c r="EC18" s="358">
        <v>0</v>
      </c>
      <c r="ED18" s="358">
        <v>0</v>
      </c>
      <c r="EE18" s="358">
        <f t="shared" si="12"/>
        <v>0</v>
      </c>
      <c r="EF18" s="358">
        <v>1</v>
      </c>
      <c r="EG18" s="9">
        <v>0</v>
      </c>
      <c r="EH18" s="19">
        <f>DQ18/DP18</f>
        <v>0.33333333333333331</v>
      </c>
      <c r="EI18" s="20">
        <f>(DQ18+EC18+ED18)/(DP18+EC18+ED18+EB18+EA18)</f>
        <v>0.33333333333333331</v>
      </c>
      <c r="EJ18" s="20">
        <f>((DR18*1)+(DS18*2)+(DT18*3)+(DU18*4))/DP18</f>
        <v>0.66666666666666663</v>
      </c>
      <c r="EK18" s="21">
        <f>EI18+EJ18</f>
        <v>1</v>
      </c>
      <c r="EL18" s="290" t="s">
        <v>53</v>
      </c>
    </row>
    <row r="19" spans="1:142" x14ac:dyDescent="0.3">
      <c r="A19" s="5" t="s">
        <v>55</v>
      </c>
      <c r="B19" s="1">
        <v>6</v>
      </c>
      <c r="C19" s="9" t="s">
        <v>56</v>
      </c>
      <c r="D19" s="11">
        <v>3</v>
      </c>
      <c r="E19" s="11">
        <v>3</v>
      </c>
      <c r="F19" s="11">
        <v>3</v>
      </c>
      <c r="G19" s="11">
        <v>0</v>
      </c>
      <c r="H19" s="18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4">
        <v>0</v>
      </c>
      <c r="U19" s="215">
        <f t="shared" si="1"/>
        <v>0</v>
      </c>
      <c r="V19" s="11">
        <v>2</v>
      </c>
      <c r="W19" s="11">
        <v>0</v>
      </c>
      <c r="X19" s="19">
        <v>0</v>
      </c>
      <c r="Y19" s="20">
        <v>0</v>
      </c>
      <c r="Z19" s="20">
        <v>0</v>
      </c>
      <c r="AA19" s="21">
        <v>0</v>
      </c>
      <c r="AB19" s="5" t="s">
        <v>55</v>
      </c>
      <c r="AD19" s="1"/>
      <c r="AE19" s="45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121"/>
      <c r="AU19" s="46"/>
      <c r="AV19" s="39"/>
      <c r="AW19" s="46"/>
      <c r="AX19" s="47"/>
      <c r="AY19" s="1"/>
      <c r="AZ19" s="108"/>
      <c r="BA19" s="108"/>
      <c r="BB19" s="108"/>
      <c r="BC19" s="5"/>
      <c r="BE19" s="31" t="s">
        <v>283</v>
      </c>
      <c r="BF19" s="155" t="s">
        <v>278</v>
      </c>
      <c r="BG19" s="103">
        <v>6</v>
      </c>
      <c r="BH19" s="219"/>
      <c r="BI19" s="181"/>
      <c r="BJ19" s="181"/>
      <c r="BK19" s="242">
        <f>BL19+BM19+BN19+BO19</f>
        <v>0</v>
      </c>
      <c r="BL19" s="181"/>
      <c r="BM19" s="181"/>
      <c r="BN19" s="181"/>
      <c r="BO19" s="181"/>
      <c r="BP19" s="242">
        <f>BL19*1+BM19*2+BN19*3+BO19*4</f>
        <v>0</v>
      </c>
      <c r="BQ19" s="181"/>
      <c r="BR19" s="181"/>
      <c r="BS19" s="181"/>
      <c r="BT19" s="181"/>
      <c r="BU19" s="181"/>
      <c r="BV19" s="181"/>
      <c r="BW19" s="181"/>
      <c r="BX19" s="181"/>
      <c r="BY19" s="238"/>
      <c r="BZ19" s="181"/>
      <c r="CA19" s="221"/>
      <c r="CB19" s="19"/>
      <c r="CC19" s="20"/>
      <c r="CD19" s="20"/>
      <c r="CE19" s="21"/>
      <c r="CF19" s="31" t="s">
        <v>283</v>
      </c>
      <c r="CH19" s="1"/>
      <c r="CI19" s="259"/>
      <c r="CJ19" s="9"/>
      <c r="CK19" s="1"/>
      <c r="CL19" s="259"/>
      <c r="CM19" s="259"/>
      <c r="CN19" s="259"/>
      <c r="CO19" s="259"/>
      <c r="CP19" s="259"/>
      <c r="CQ19" s="259"/>
      <c r="CR19" s="259"/>
      <c r="CS19" s="259"/>
      <c r="CT19" s="259"/>
      <c r="CU19" s="259"/>
      <c r="CV19" s="259"/>
      <c r="CW19" s="259"/>
      <c r="CX19" s="259"/>
      <c r="CY19" s="259"/>
      <c r="CZ19" s="259"/>
      <c r="DA19" s="259"/>
      <c r="DB19" s="345"/>
      <c r="DC19" s="259"/>
      <c r="DD19" s="9"/>
      <c r="DE19" s="19"/>
      <c r="DF19" s="20"/>
      <c r="DG19" s="20"/>
      <c r="DH19" s="21"/>
      <c r="DI19" s="258"/>
      <c r="DK19" s="1"/>
      <c r="DL19" s="358"/>
      <c r="DM19" s="9"/>
      <c r="DN19" s="1"/>
      <c r="DO19" s="358"/>
      <c r="DP19" s="358"/>
      <c r="DQ19" s="358"/>
      <c r="DR19" s="358"/>
      <c r="DS19" s="358"/>
      <c r="DT19" s="358"/>
      <c r="DU19" s="358"/>
      <c r="DV19" s="358"/>
      <c r="DW19" s="358"/>
      <c r="DX19" s="358"/>
      <c r="DY19" s="358"/>
      <c r="DZ19" s="358"/>
      <c r="EA19" s="358"/>
      <c r="EB19" s="358"/>
      <c r="EC19" s="358"/>
      <c r="ED19" s="358"/>
      <c r="EE19" s="358"/>
      <c r="EF19" s="358"/>
      <c r="EG19" s="9"/>
      <c r="EH19" s="19"/>
      <c r="EI19" s="20"/>
      <c r="EJ19" s="20"/>
      <c r="EK19" s="21"/>
      <c r="EL19" s="290"/>
    </row>
    <row r="20" spans="1:142" x14ac:dyDescent="0.3">
      <c r="A20" s="5" t="s">
        <v>57</v>
      </c>
      <c r="B20" s="1">
        <v>32</v>
      </c>
      <c r="C20" s="9" t="s">
        <v>58</v>
      </c>
      <c r="D20" s="11">
        <v>2</v>
      </c>
      <c r="E20" s="11">
        <v>7</v>
      </c>
      <c r="F20" s="11">
        <v>6</v>
      </c>
      <c r="G20" s="11">
        <v>4</v>
      </c>
      <c r="H20" s="18">
        <v>2</v>
      </c>
      <c r="I20" s="11">
        <v>1</v>
      </c>
      <c r="J20" s="11">
        <v>1</v>
      </c>
      <c r="K20" s="11">
        <v>0</v>
      </c>
      <c r="L20" s="11">
        <v>7</v>
      </c>
      <c r="M20" s="11">
        <v>5</v>
      </c>
      <c r="N20" s="11">
        <v>3</v>
      </c>
      <c r="O20" s="11">
        <v>3</v>
      </c>
      <c r="P20" s="11">
        <v>1</v>
      </c>
      <c r="Q20" s="11">
        <v>0</v>
      </c>
      <c r="R20" s="11">
        <v>0</v>
      </c>
      <c r="S20" s="11">
        <v>1</v>
      </c>
      <c r="T20" s="4">
        <v>0</v>
      </c>
      <c r="U20" s="215">
        <f t="shared" si="1"/>
        <v>1</v>
      </c>
      <c r="V20" s="11">
        <v>0</v>
      </c>
      <c r="W20" s="11">
        <v>0</v>
      </c>
      <c r="X20" s="19">
        <v>0.66666666666666663</v>
      </c>
      <c r="Y20" s="20">
        <v>0.7142857142857143</v>
      </c>
      <c r="Z20" s="20">
        <v>1.1666666666666667</v>
      </c>
      <c r="AA20" s="21">
        <v>1.8809523809523809</v>
      </c>
      <c r="AB20" s="5" t="s">
        <v>59</v>
      </c>
      <c r="AD20" s="98" t="s">
        <v>110</v>
      </c>
      <c r="AE20" s="33">
        <v>1</v>
      </c>
      <c r="AF20" s="39">
        <v>4</v>
      </c>
      <c r="AG20" s="39">
        <v>4</v>
      </c>
      <c r="AH20" s="39">
        <v>3</v>
      </c>
      <c r="AI20" s="40">
        <v>2</v>
      </c>
      <c r="AJ20" s="40">
        <v>0</v>
      </c>
      <c r="AK20" s="40">
        <v>0</v>
      </c>
      <c r="AL20" s="39">
        <v>1</v>
      </c>
      <c r="AM20" s="40">
        <v>6</v>
      </c>
      <c r="AN20" s="40">
        <v>5</v>
      </c>
      <c r="AO20" s="40">
        <v>4</v>
      </c>
      <c r="AP20" s="40">
        <v>2</v>
      </c>
      <c r="AQ20" s="39">
        <v>0</v>
      </c>
      <c r="AR20" s="39">
        <v>0</v>
      </c>
      <c r="AS20" s="39">
        <v>0</v>
      </c>
      <c r="AT20" s="40">
        <v>0</v>
      </c>
      <c r="AU20" s="39">
        <v>0</v>
      </c>
      <c r="AV20" s="39">
        <f t="shared" si="2"/>
        <v>0</v>
      </c>
      <c r="AW20" s="39">
        <v>0</v>
      </c>
      <c r="AX20" s="32">
        <v>0</v>
      </c>
      <c r="AY20" s="19">
        <v>0.75</v>
      </c>
      <c r="AZ20" s="20">
        <v>0.75</v>
      </c>
      <c r="BA20" s="20">
        <v>1.5</v>
      </c>
      <c r="BB20" s="20">
        <v>2.25</v>
      </c>
      <c r="BC20" s="5" t="s">
        <v>57</v>
      </c>
      <c r="BE20" s="5"/>
      <c r="BF20" s="173"/>
      <c r="BG20" s="9"/>
      <c r="BH20" s="1"/>
      <c r="BI20" s="205"/>
      <c r="BJ20" s="205"/>
      <c r="BK20" s="238"/>
      <c r="BL20" s="205"/>
      <c r="BM20" s="205"/>
      <c r="BN20" s="205"/>
      <c r="BO20" s="205"/>
      <c r="BP20" s="238"/>
      <c r="BQ20" s="205"/>
      <c r="BR20" s="205"/>
      <c r="BS20" s="205"/>
      <c r="BT20" s="205"/>
      <c r="BU20" s="205"/>
      <c r="BV20" s="205"/>
      <c r="BW20" s="205"/>
      <c r="BX20" s="205"/>
      <c r="BY20" s="238"/>
      <c r="BZ20" s="205"/>
      <c r="CA20" s="9"/>
      <c r="CB20" s="1"/>
      <c r="CC20" s="173"/>
      <c r="CD20" s="173"/>
      <c r="CE20" s="9"/>
      <c r="CF20" s="5"/>
      <c r="CH20" s="1"/>
      <c r="CI20" s="259"/>
      <c r="CJ20" s="9"/>
      <c r="CK20" s="1"/>
      <c r="CL20" s="259"/>
      <c r="CM20" s="259"/>
      <c r="CN20" s="345"/>
      <c r="CO20" s="259"/>
      <c r="CP20" s="259"/>
      <c r="CQ20" s="259"/>
      <c r="CR20" s="259"/>
      <c r="CS20" s="345"/>
      <c r="CT20" s="259"/>
      <c r="CU20" s="259"/>
      <c r="CV20" s="259"/>
      <c r="CW20" s="259"/>
      <c r="CX20" s="259"/>
      <c r="CY20" s="259"/>
      <c r="CZ20" s="259"/>
      <c r="DA20" s="259"/>
      <c r="DB20" s="345"/>
      <c r="DC20" s="259"/>
      <c r="DD20" s="9"/>
      <c r="DE20" s="19"/>
      <c r="DF20" s="20"/>
      <c r="DG20" s="20"/>
      <c r="DH20" s="21"/>
      <c r="DI20" s="258"/>
      <c r="DK20" s="1"/>
      <c r="DL20" s="358"/>
      <c r="DM20" s="9"/>
      <c r="DN20" s="1"/>
      <c r="DO20" s="358"/>
      <c r="DP20" s="358"/>
      <c r="DQ20" s="358"/>
      <c r="DR20" s="358"/>
      <c r="DS20" s="358"/>
      <c r="DT20" s="358"/>
      <c r="DU20" s="358"/>
      <c r="DV20" s="358"/>
      <c r="DW20" s="358"/>
      <c r="DX20" s="358"/>
      <c r="DY20" s="358"/>
      <c r="DZ20" s="358"/>
      <c r="EA20" s="358"/>
      <c r="EB20" s="358"/>
      <c r="EC20" s="358"/>
      <c r="ED20" s="358"/>
      <c r="EE20" s="358"/>
      <c r="EF20" s="358"/>
      <c r="EG20" s="9"/>
      <c r="EH20" s="19"/>
      <c r="EI20" s="20"/>
      <c r="EJ20" s="20"/>
      <c r="EK20" s="21"/>
      <c r="EL20" s="290"/>
    </row>
    <row r="21" spans="1:142" s="290" customFormat="1" x14ac:dyDescent="0.3">
      <c r="A21" s="5"/>
      <c r="B21" s="1"/>
      <c r="C21" s="9"/>
      <c r="D21" s="345"/>
      <c r="E21" s="345"/>
      <c r="F21" s="345"/>
      <c r="G21" s="345"/>
      <c r="H21" s="18"/>
      <c r="I21" s="345"/>
      <c r="J21" s="345"/>
      <c r="K21" s="345"/>
      <c r="L21" s="345"/>
      <c r="M21" s="345"/>
      <c r="N21" s="345"/>
      <c r="O21" s="345"/>
      <c r="P21" s="345"/>
      <c r="Q21" s="345"/>
      <c r="R21" s="345"/>
      <c r="S21" s="345"/>
      <c r="V21" s="345"/>
      <c r="W21" s="345"/>
      <c r="X21" s="19"/>
      <c r="Y21" s="20"/>
      <c r="Z21" s="20"/>
      <c r="AA21" s="21"/>
      <c r="AB21" s="5"/>
      <c r="AD21" s="98"/>
      <c r="AE21" s="33"/>
      <c r="AF21" s="39"/>
      <c r="AG21" s="39"/>
      <c r="AH21" s="39"/>
      <c r="AI21" s="40"/>
      <c r="AJ21" s="40"/>
      <c r="AK21" s="40"/>
      <c r="AL21" s="39"/>
      <c r="AM21" s="40"/>
      <c r="AN21" s="40"/>
      <c r="AO21" s="40"/>
      <c r="AP21" s="40"/>
      <c r="AQ21" s="39"/>
      <c r="AR21" s="39"/>
      <c r="AS21" s="39"/>
      <c r="AT21" s="40"/>
      <c r="AU21" s="39"/>
      <c r="AV21" s="39"/>
      <c r="AW21" s="39"/>
      <c r="AX21" s="32"/>
      <c r="AY21" s="19"/>
      <c r="AZ21" s="20"/>
      <c r="BA21" s="20"/>
      <c r="BB21" s="20"/>
      <c r="BC21" s="5"/>
      <c r="BE21" s="5"/>
      <c r="BF21" s="345"/>
      <c r="BG21" s="9"/>
      <c r="BH21" s="1"/>
      <c r="BI21" s="345"/>
      <c r="BJ21" s="345"/>
      <c r="BK21" s="238"/>
      <c r="BL21" s="345"/>
      <c r="BM21" s="345"/>
      <c r="BN21" s="345"/>
      <c r="BO21" s="345"/>
      <c r="BP21" s="238"/>
      <c r="BQ21" s="345"/>
      <c r="BR21" s="345"/>
      <c r="BS21" s="345"/>
      <c r="BT21" s="345"/>
      <c r="BU21" s="345"/>
      <c r="BV21" s="345"/>
      <c r="BW21" s="345"/>
      <c r="BX21" s="345"/>
      <c r="BY21" s="238"/>
      <c r="BZ21" s="345"/>
      <c r="CA21" s="9"/>
      <c r="CB21" s="1"/>
      <c r="CC21" s="345"/>
      <c r="CD21" s="345"/>
      <c r="CE21" s="9"/>
      <c r="CF21" s="5"/>
      <c r="CH21" s="1" t="s">
        <v>587</v>
      </c>
      <c r="CI21" s="345" t="s">
        <v>588</v>
      </c>
      <c r="CJ21" s="9">
        <v>27</v>
      </c>
      <c r="CK21" s="1">
        <v>1</v>
      </c>
      <c r="CL21" s="345">
        <v>5</v>
      </c>
      <c r="CM21" s="345">
        <v>3</v>
      </c>
      <c r="CN21" s="345">
        <f t="shared" ref="CN21" si="17">CO21+CP21+CQ21+CR21</f>
        <v>0</v>
      </c>
      <c r="CO21" s="345">
        <v>0</v>
      </c>
      <c r="CP21" s="345">
        <v>0</v>
      </c>
      <c r="CQ21" s="345">
        <v>0</v>
      </c>
      <c r="CR21" s="345">
        <v>0</v>
      </c>
      <c r="CS21" s="345">
        <f t="shared" ref="CS21" si="18">CO21*1+CP21*2+CQ21*3+CR21*4</f>
        <v>0</v>
      </c>
      <c r="CT21" s="345">
        <v>1</v>
      </c>
      <c r="CU21" s="345">
        <v>1</v>
      </c>
      <c r="CV21" s="345">
        <v>0</v>
      </c>
      <c r="CW21" s="345">
        <v>0</v>
      </c>
      <c r="CX21" s="345">
        <v>0</v>
      </c>
      <c r="CY21" s="345">
        <v>0</v>
      </c>
      <c r="CZ21" s="345">
        <v>2</v>
      </c>
      <c r="DA21" s="345">
        <v>0</v>
      </c>
      <c r="DB21" s="345">
        <f t="shared" si="5"/>
        <v>2</v>
      </c>
      <c r="DC21" s="345">
        <v>2</v>
      </c>
      <c r="DD21" s="9">
        <v>0</v>
      </c>
      <c r="DE21" s="19">
        <f t="shared" ref="DE21" si="19">CN21/CM21</f>
        <v>0</v>
      </c>
      <c r="DF21" s="20">
        <f t="shared" ref="DF21" si="20">(CN21+CZ21+DA21)/(CM21+CZ21+DA21+CY21+CX21)</f>
        <v>0.4</v>
      </c>
      <c r="DG21" s="20">
        <f t="shared" ref="DG21" si="21">((CO21*1)+(CP21*2)+(CQ21*3)+(CR21*4))/CM21</f>
        <v>0</v>
      </c>
      <c r="DH21" s="21">
        <f>DF21+DG21</f>
        <v>0.4</v>
      </c>
      <c r="DI21" s="290" t="s">
        <v>589</v>
      </c>
      <c r="DK21" s="1" t="s">
        <v>587</v>
      </c>
      <c r="DL21" s="358" t="s">
        <v>588</v>
      </c>
      <c r="DM21" s="9">
        <v>27</v>
      </c>
      <c r="DN21" s="1">
        <v>3</v>
      </c>
      <c r="DO21" s="358">
        <v>6</v>
      </c>
      <c r="DP21" s="358">
        <v>5</v>
      </c>
      <c r="DQ21" s="358">
        <f t="shared" ref="DQ21" si="22">DR21+DS21+DT21+DU21</f>
        <v>0</v>
      </c>
      <c r="DR21" s="358">
        <v>0</v>
      </c>
      <c r="DS21" s="358">
        <v>0</v>
      </c>
      <c r="DT21" s="358">
        <v>0</v>
      </c>
      <c r="DU21" s="358">
        <v>0</v>
      </c>
      <c r="DV21" s="358">
        <f t="shared" ref="DV21" si="23">DR21*1+DS21*2+DT21*3+DU21*4</f>
        <v>0</v>
      </c>
      <c r="DW21" s="358">
        <v>0</v>
      </c>
      <c r="DX21" s="358">
        <v>1</v>
      </c>
      <c r="DY21" s="358">
        <v>0</v>
      </c>
      <c r="DZ21" s="358">
        <v>0</v>
      </c>
      <c r="EA21" s="358">
        <v>0</v>
      </c>
      <c r="EB21" s="358">
        <v>0</v>
      </c>
      <c r="EC21" s="358">
        <v>1</v>
      </c>
      <c r="ED21" s="358">
        <v>0</v>
      </c>
      <c r="EE21" s="358">
        <f t="shared" ref="EE21" si="24">EC21+ED21</f>
        <v>1</v>
      </c>
      <c r="EF21" s="358">
        <v>4</v>
      </c>
      <c r="EG21" s="9">
        <v>1</v>
      </c>
      <c r="EH21" s="19">
        <f t="shared" ref="EH21" si="25">DQ21/DP21</f>
        <v>0</v>
      </c>
      <c r="EI21" s="20">
        <f t="shared" ref="EI21" si="26">(DQ21+EC21+ED21)/(DP21+EC21+ED21+EB21+EA21)</f>
        <v>0.16666666666666666</v>
      </c>
      <c r="EJ21" s="20">
        <f t="shared" ref="EJ21" si="27">((DR21*1)+(DS21*2)+(DT21*3)+(DU21*4))/DP21</f>
        <v>0</v>
      </c>
      <c r="EK21" s="21">
        <f>EI21+EJ21</f>
        <v>0.16666666666666666</v>
      </c>
      <c r="EL21" s="290" t="s">
        <v>589</v>
      </c>
    </row>
    <row r="22" spans="1:142" x14ac:dyDescent="0.3">
      <c r="A22" s="5" t="s">
        <v>60</v>
      </c>
      <c r="B22" s="1">
        <v>77</v>
      </c>
      <c r="C22" s="9" t="s">
        <v>38</v>
      </c>
      <c r="D22" s="11">
        <v>4</v>
      </c>
      <c r="E22" s="11">
        <v>8</v>
      </c>
      <c r="F22" s="11">
        <v>6</v>
      </c>
      <c r="G22" s="11">
        <v>0</v>
      </c>
      <c r="H22" s="18">
        <v>0</v>
      </c>
      <c r="I22" s="11">
        <v>0</v>
      </c>
      <c r="J22" s="11">
        <v>0</v>
      </c>
      <c r="K22" s="11">
        <v>0</v>
      </c>
      <c r="L22" s="11">
        <v>0</v>
      </c>
      <c r="M22" s="11">
        <v>1</v>
      </c>
      <c r="N22" s="11">
        <v>1</v>
      </c>
      <c r="O22" s="11">
        <v>0</v>
      </c>
      <c r="P22" s="11">
        <v>0</v>
      </c>
      <c r="Q22" s="11">
        <v>0</v>
      </c>
      <c r="R22" s="11">
        <v>0</v>
      </c>
      <c r="S22" s="11">
        <v>1</v>
      </c>
      <c r="T22" s="4">
        <v>1</v>
      </c>
      <c r="U22" s="215">
        <f t="shared" si="1"/>
        <v>2</v>
      </c>
      <c r="V22" s="11">
        <v>5</v>
      </c>
      <c r="W22" s="11">
        <v>0</v>
      </c>
      <c r="X22" s="19">
        <v>0</v>
      </c>
      <c r="Y22" s="20">
        <v>0.25</v>
      </c>
      <c r="Z22" s="20">
        <v>0</v>
      </c>
      <c r="AA22" s="21">
        <v>0.25</v>
      </c>
      <c r="AB22" s="5" t="s">
        <v>60</v>
      </c>
      <c r="AD22" s="1"/>
      <c r="AE22" s="45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121"/>
      <c r="AU22" s="46"/>
      <c r="AV22" s="39"/>
      <c r="AW22" s="46"/>
      <c r="AX22" s="47"/>
      <c r="AY22" s="1"/>
      <c r="AZ22" s="108"/>
      <c r="BA22" s="108"/>
      <c r="BB22" s="108"/>
      <c r="BC22" s="5"/>
      <c r="BE22" s="5"/>
      <c r="BF22" s="173"/>
      <c r="BG22" s="9"/>
      <c r="BH22" s="1"/>
      <c r="BI22" s="205"/>
      <c r="BJ22" s="205"/>
      <c r="BK22" s="238"/>
      <c r="BL22" s="205"/>
      <c r="BM22" s="205"/>
      <c r="BN22" s="205"/>
      <c r="BO22" s="205"/>
      <c r="BP22" s="238"/>
      <c r="BQ22" s="205"/>
      <c r="BR22" s="205"/>
      <c r="BS22" s="205"/>
      <c r="BT22" s="205"/>
      <c r="BU22" s="205"/>
      <c r="BV22" s="205"/>
      <c r="BW22" s="205"/>
      <c r="BX22" s="205"/>
      <c r="BY22" s="238"/>
      <c r="BZ22" s="205"/>
      <c r="CA22" s="9"/>
      <c r="CB22" s="1"/>
      <c r="CC22" s="173"/>
      <c r="CD22" s="173"/>
      <c r="CE22" s="9"/>
      <c r="CF22" s="5"/>
      <c r="CH22" s="1"/>
      <c r="CI22" s="259"/>
      <c r="CJ22" s="9"/>
      <c r="CK22" s="1"/>
      <c r="CL22" s="259"/>
      <c r="CM22" s="259"/>
      <c r="CN22" s="259"/>
      <c r="CO22" s="259"/>
      <c r="CP22" s="259"/>
      <c r="CQ22" s="259"/>
      <c r="CR22" s="259"/>
      <c r="CS22" s="259"/>
      <c r="CT22" s="259"/>
      <c r="CU22" s="259"/>
      <c r="CV22" s="259"/>
      <c r="CW22" s="259"/>
      <c r="CX22" s="259"/>
      <c r="CY22" s="259"/>
      <c r="CZ22" s="259"/>
      <c r="DA22" s="259"/>
      <c r="DB22" s="259"/>
      <c r="DC22" s="259"/>
      <c r="DD22" s="9"/>
      <c r="DE22" s="19"/>
      <c r="DF22" s="20"/>
      <c r="DG22" s="20"/>
      <c r="DH22" s="21"/>
      <c r="DI22" s="258"/>
      <c r="DK22" s="1"/>
      <c r="DL22" s="358"/>
      <c r="DM22" s="9"/>
      <c r="DN22" s="1"/>
      <c r="DO22" s="358"/>
      <c r="DP22" s="358"/>
      <c r="DQ22" s="358"/>
      <c r="DR22" s="358"/>
      <c r="DS22" s="358"/>
      <c r="DT22" s="358"/>
      <c r="DU22" s="358"/>
      <c r="DV22" s="358"/>
      <c r="DW22" s="358"/>
      <c r="DX22" s="358"/>
      <c r="DY22" s="358"/>
      <c r="DZ22" s="358"/>
      <c r="EA22" s="358"/>
      <c r="EB22" s="358"/>
      <c r="EC22" s="358"/>
      <c r="ED22" s="358"/>
      <c r="EE22" s="358"/>
      <c r="EF22" s="358"/>
      <c r="EG22" s="9"/>
      <c r="EH22" s="19"/>
      <c r="EI22" s="20"/>
      <c r="EJ22" s="20"/>
      <c r="EK22" s="21"/>
      <c r="EL22" s="290"/>
    </row>
    <row r="23" spans="1:142" x14ac:dyDescent="0.3">
      <c r="A23" s="26"/>
      <c r="B23" s="27"/>
      <c r="C23" s="28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V23" s="25"/>
      <c r="W23" s="25"/>
      <c r="X23" s="19"/>
      <c r="Y23" s="20"/>
      <c r="Z23" s="20"/>
      <c r="AA23" s="21"/>
      <c r="AB23" s="26"/>
      <c r="AD23" s="98" t="s">
        <v>111</v>
      </c>
      <c r="AE23" s="33">
        <v>8</v>
      </c>
      <c r="AF23" s="39">
        <v>24</v>
      </c>
      <c r="AG23" s="39">
        <v>19</v>
      </c>
      <c r="AH23" s="39">
        <v>3</v>
      </c>
      <c r="AI23" s="40">
        <v>3</v>
      </c>
      <c r="AJ23" s="40">
        <v>0</v>
      </c>
      <c r="AK23" s="40">
        <v>0</v>
      </c>
      <c r="AL23" s="39">
        <v>0</v>
      </c>
      <c r="AM23" s="40">
        <v>3</v>
      </c>
      <c r="AN23" s="40">
        <v>3</v>
      </c>
      <c r="AO23" s="40">
        <v>3</v>
      </c>
      <c r="AP23" s="40">
        <v>0</v>
      </c>
      <c r="AQ23" s="39">
        <v>0</v>
      </c>
      <c r="AR23" s="39">
        <v>0</v>
      </c>
      <c r="AS23" s="39">
        <v>0</v>
      </c>
      <c r="AT23" s="40">
        <v>3</v>
      </c>
      <c r="AU23" s="39">
        <v>2</v>
      </c>
      <c r="AV23" s="39">
        <f t="shared" si="2"/>
        <v>5</v>
      </c>
      <c r="AW23" s="39">
        <v>9</v>
      </c>
      <c r="AX23" s="32">
        <v>0</v>
      </c>
      <c r="AY23" s="19">
        <v>0.17647058823529413</v>
      </c>
      <c r="AZ23" s="20">
        <v>0.36363636363636365</v>
      </c>
      <c r="BA23" s="20">
        <v>0.17647058823529413</v>
      </c>
      <c r="BB23" s="20">
        <v>0.5401069518716578</v>
      </c>
      <c r="BC23" s="26" t="s">
        <v>303</v>
      </c>
      <c r="BE23" s="5"/>
      <c r="BF23" s="173"/>
      <c r="BG23" s="9"/>
      <c r="BH23" s="1"/>
      <c r="BI23" s="205"/>
      <c r="BJ23" s="205"/>
      <c r="BK23" s="238"/>
      <c r="BL23" s="205"/>
      <c r="BM23" s="205"/>
      <c r="BN23" s="205"/>
      <c r="BO23" s="205"/>
      <c r="BP23" s="238"/>
      <c r="BQ23" s="205"/>
      <c r="BR23" s="205"/>
      <c r="BS23" s="205"/>
      <c r="BT23" s="205"/>
      <c r="BU23" s="205"/>
      <c r="BV23" s="205"/>
      <c r="BW23" s="205"/>
      <c r="BX23" s="205"/>
      <c r="BY23" s="238"/>
      <c r="BZ23" s="205"/>
      <c r="CA23" s="9"/>
      <c r="CB23" s="1"/>
      <c r="CC23" s="173"/>
      <c r="CD23" s="173"/>
      <c r="CE23" s="9"/>
      <c r="CF23" s="5"/>
      <c r="CH23" s="1"/>
      <c r="CI23" s="259"/>
      <c r="CJ23" s="9"/>
      <c r="CK23" s="1"/>
      <c r="CL23" s="259"/>
      <c r="CM23" s="259"/>
      <c r="CN23" s="259"/>
      <c r="CO23" s="259"/>
      <c r="CP23" s="259"/>
      <c r="CQ23" s="259"/>
      <c r="CR23" s="259"/>
      <c r="CS23" s="259"/>
      <c r="CT23" s="259"/>
      <c r="CU23" s="259"/>
      <c r="CV23" s="259"/>
      <c r="CW23" s="259"/>
      <c r="CX23" s="259"/>
      <c r="CY23" s="259"/>
      <c r="CZ23" s="259"/>
      <c r="DA23" s="259"/>
      <c r="DB23" s="259"/>
      <c r="DC23" s="259"/>
      <c r="DD23" s="9"/>
      <c r="DE23" s="19"/>
      <c r="DF23" s="20"/>
      <c r="DG23" s="20"/>
      <c r="DH23" s="21"/>
      <c r="DI23" s="258"/>
      <c r="DK23" s="1"/>
      <c r="DL23" s="358"/>
      <c r="DM23" s="9"/>
      <c r="DN23" s="1"/>
      <c r="DO23" s="358"/>
      <c r="DP23" s="358"/>
      <c r="DQ23" s="358"/>
      <c r="DR23" s="358"/>
      <c r="DS23" s="358"/>
      <c r="DT23" s="358"/>
      <c r="DU23" s="358"/>
      <c r="DV23" s="358"/>
      <c r="DW23" s="358"/>
      <c r="DX23" s="358"/>
      <c r="DY23" s="358"/>
      <c r="DZ23" s="358"/>
      <c r="EA23" s="358"/>
      <c r="EB23" s="358"/>
      <c r="EC23" s="358"/>
      <c r="ED23" s="358"/>
      <c r="EE23" s="358"/>
      <c r="EF23" s="358"/>
      <c r="EG23" s="9"/>
      <c r="EH23" s="19"/>
      <c r="EI23" s="20"/>
      <c r="EJ23" s="20"/>
      <c r="EK23" s="21"/>
      <c r="EL23" s="290"/>
    </row>
    <row r="24" spans="1:142" x14ac:dyDescent="0.3">
      <c r="A24" s="5" t="s">
        <v>61</v>
      </c>
      <c r="B24" s="1">
        <v>21</v>
      </c>
      <c r="C24" s="9" t="s">
        <v>9</v>
      </c>
      <c r="D24" s="11">
        <v>10</v>
      </c>
      <c r="E24" s="11">
        <v>25</v>
      </c>
      <c r="F24" s="11">
        <v>22</v>
      </c>
      <c r="G24" s="11">
        <v>15</v>
      </c>
      <c r="H24" s="18">
        <v>13</v>
      </c>
      <c r="I24" s="11">
        <v>2</v>
      </c>
      <c r="J24" s="11">
        <v>0</v>
      </c>
      <c r="K24" s="11">
        <v>0</v>
      </c>
      <c r="L24" s="11">
        <v>17</v>
      </c>
      <c r="M24" s="11">
        <v>15</v>
      </c>
      <c r="N24" s="11">
        <v>11</v>
      </c>
      <c r="O24" s="11">
        <v>8</v>
      </c>
      <c r="P24" s="11">
        <v>0</v>
      </c>
      <c r="Q24" s="11">
        <v>0</v>
      </c>
      <c r="R24" s="11">
        <v>2</v>
      </c>
      <c r="S24" s="11">
        <v>1</v>
      </c>
      <c r="T24" s="4">
        <v>0</v>
      </c>
      <c r="U24" s="215">
        <f t="shared" si="1"/>
        <v>1</v>
      </c>
      <c r="V24" s="11">
        <v>2</v>
      </c>
      <c r="W24" s="11">
        <v>0</v>
      </c>
      <c r="X24" s="19">
        <v>0.68181818181818177</v>
      </c>
      <c r="Y24" s="20">
        <v>0.64</v>
      </c>
      <c r="Z24" s="20">
        <v>0.77272727272727271</v>
      </c>
      <c r="AA24" s="21">
        <v>1.4127272727272726</v>
      </c>
      <c r="AB24" s="5" t="s">
        <v>62</v>
      </c>
      <c r="AD24" s="98" t="s">
        <v>62</v>
      </c>
      <c r="AE24" s="33">
        <v>5</v>
      </c>
      <c r="AF24" s="39">
        <v>14</v>
      </c>
      <c r="AG24" s="39">
        <v>13</v>
      </c>
      <c r="AH24" s="39">
        <v>9</v>
      </c>
      <c r="AI24" s="40">
        <v>5</v>
      </c>
      <c r="AJ24" s="40">
        <v>3</v>
      </c>
      <c r="AK24" s="40">
        <v>0</v>
      </c>
      <c r="AL24" s="39">
        <v>1</v>
      </c>
      <c r="AM24" s="40">
        <v>15</v>
      </c>
      <c r="AN24" s="40">
        <v>9</v>
      </c>
      <c r="AO24" s="40">
        <v>6</v>
      </c>
      <c r="AP24" s="40">
        <v>5</v>
      </c>
      <c r="AQ24" s="39">
        <v>0</v>
      </c>
      <c r="AR24" s="39">
        <v>0</v>
      </c>
      <c r="AS24" s="39">
        <v>0</v>
      </c>
      <c r="AT24" s="40">
        <v>1</v>
      </c>
      <c r="AU24" s="39">
        <v>0</v>
      </c>
      <c r="AV24" s="39">
        <f t="shared" si="2"/>
        <v>1</v>
      </c>
      <c r="AW24" s="39">
        <v>1</v>
      </c>
      <c r="AX24" s="32">
        <v>0</v>
      </c>
      <c r="AY24" s="19">
        <v>0.69230769230769229</v>
      </c>
      <c r="AZ24" s="20">
        <v>0.7142857142857143</v>
      </c>
      <c r="BA24" s="20">
        <v>1.1538461538461537</v>
      </c>
      <c r="BB24" s="20">
        <v>1.8681318681318682</v>
      </c>
      <c r="BC24" s="5" t="s">
        <v>61</v>
      </c>
      <c r="BE24" s="5"/>
      <c r="BF24" s="173"/>
      <c r="BG24" s="9"/>
      <c r="BH24" s="1"/>
      <c r="BI24" s="205"/>
      <c r="BJ24" s="205"/>
      <c r="BK24" s="238"/>
      <c r="BL24" s="205"/>
      <c r="BM24" s="205"/>
      <c r="BN24" s="205"/>
      <c r="BO24" s="205"/>
      <c r="BP24" s="238"/>
      <c r="BQ24" s="205"/>
      <c r="BR24" s="205"/>
      <c r="BS24" s="205"/>
      <c r="BT24" s="205"/>
      <c r="BU24" s="205"/>
      <c r="BV24" s="205"/>
      <c r="BW24" s="205"/>
      <c r="BX24" s="205"/>
      <c r="BY24" s="238"/>
      <c r="BZ24" s="205"/>
      <c r="CA24" s="9"/>
      <c r="CB24" s="1"/>
      <c r="CC24" s="173"/>
      <c r="CD24" s="173"/>
      <c r="CE24" s="9"/>
      <c r="CF24" s="5"/>
      <c r="CH24" s="1"/>
      <c r="CI24" s="259"/>
      <c r="CJ24" s="9"/>
      <c r="CK24" s="1"/>
      <c r="CL24" s="259"/>
      <c r="CM24" s="259"/>
      <c r="CN24" s="259"/>
      <c r="CO24" s="259"/>
      <c r="CP24" s="259"/>
      <c r="CQ24" s="259"/>
      <c r="CR24" s="259"/>
      <c r="CS24" s="259"/>
      <c r="CT24" s="259"/>
      <c r="CU24" s="259"/>
      <c r="CV24" s="259"/>
      <c r="CW24" s="259"/>
      <c r="CX24" s="259"/>
      <c r="CY24" s="259"/>
      <c r="CZ24" s="259"/>
      <c r="DA24" s="259"/>
      <c r="DB24" s="259"/>
      <c r="DC24" s="259"/>
      <c r="DD24" s="9"/>
      <c r="DE24" s="19"/>
      <c r="DF24" s="20"/>
      <c r="DG24" s="20"/>
      <c r="DH24" s="21"/>
      <c r="DI24" s="258"/>
      <c r="DK24" s="1"/>
      <c r="DL24" s="358"/>
      <c r="DM24" s="9"/>
      <c r="DN24" s="1"/>
      <c r="DO24" s="358"/>
      <c r="DP24" s="358"/>
      <c r="DQ24" s="358"/>
      <c r="DR24" s="358"/>
      <c r="DS24" s="358"/>
      <c r="DT24" s="358"/>
      <c r="DU24" s="358"/>
      <c r="DV24" s="358"/>
      <c r="DW24" s="358"/>
      <c r="DX24" s="358"/>
      <c r="DY24" s="358"/>
      <c r="DZ24" s="358"/>
      <c r="EA24" s="358"/>
      <c r="EB24" s="358"/>
      <c r="EC24" s="358"/>
      <c r="ED24" s="358"/>
      <c r="EE24" s="358"/>
      <c r="EF24" s="358"/>
      <c r="EG24" s="9"/>
      <c r="EH24" s="19"/>
      <c r="EI24" s="20"/>
      <c r="EJ24" s="20"/>
      <c r="EK24" s="21"/>
      <c r="EL24" s="290"/>
    </row>
    <row r="25" spans="1:142" x14ac:dyDescent="0.3">
      <c r="A25" s="5" t="s">
        <v>63</v>
      </c>
      <c r="B25" s="1">
        <v>9</v>
      </c>
      <c r="C25" s="9" t="s">
        <v>64</v>
      </c>
      <c r="D25" s="11">
        <v>5</v>
      </c>
      <c r="E25" s="11">
        <v>10</v>
      </c>
      <c r="F25" s="11">
        <v>6</v>
      </c>
      <c r="G25" s="11">
        <v>0</v>
      </c>
      <c r="H25" s="18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2</v>
      </c>
      <c r="O25" s="11">
        <v>1</v>
      </c>
      <c r="P25" s="11">
        <v>0</v>
      </c>
      <c r="Q25" s="11">
        <v>0</v>
      </c>
      <c r="R25" s="11">
        <v>0</v>
      </c>
      <c r="S25" s="11">
        <v>4</v>
      </c>
      <c r="T25" s="4">
        <v>0</v>
      </c>
      <c r="U25" s="215">
        <f t="shared" si="1"/>
        <v>4</v>
      </c>
      <c r="V25" s="11">
        <v>4</v>
      </c>
      <c r="W25" s="11">
        <v>0</v>
      </c>
      <c r="X25" s="19">
        <v>0</v>
      </c>
      <c r="Y25" s="20">
        <v>0.4</v>
      </c>
      <c r="Z25" s="20">
        <v>0</v>
      </c>
      <c r="AA25" s="21">
        <v>0.4</v>
      </c>
      <c r="AB25" s="5" t="s">
        <v>65</v>
      </c>
      <c r="AD25" s="98" t="s">
        <v>112</v>
      </c>
      <c r="AE25" s="33">
        <v>12</v>
      </c>
      <c r="AF25" s="39">
        <v>33</v>
      </c>
      <c r="AG25" s="39">
        <v>25</v>
      </c>
      <c r="AH25" s="39">
        <v>10</v>
      </c>
      <c r="AI25" s="40">
        <v>10</v>
      </c>
      <c r="AJ25" s="40">
        <v>0</v>
      </c>
      <c r="AK25" s="40">
        <v>0</v>
      </c>
      <c r="AL25" s="39">
        <v>0</v>
      </c>
      <c r="AM25" s="40">
        <v>10</v>
      </c>
      <c r="AN25" s="40">
        <v>12</v>
      </c>
      <c r="AO25" s="40">
        <v>12</v>
      </c>
      <c r="AP25" s="40">
        <v>10</v>
      </c>
      <c r="AQ25" s="39">
        <v>1</v>
      </c>
      <c r="AR25" s="39">
        <v>0</v>
      </c>
      <c r="AS25" s="39">
        <v>0</v>
      </c>
      <c r="AT25" s="40">
        <v>7</v>
      </c>
      <c r="AU25" s="39">
        <v>2</v>
      </c>
      <c r="AV25" s="39">
        <f t="shared" si="2"/>
        <v>9</v>
      </c>
      <c r="AW25" s="39">
        <v>6</v>
      </c>
      <c r="AX25" s="32">
        <v>0</v>
      </c>
      <c r="AY25" s="19">
        <v>0.40909090909090912</v>
      </c>
      <c r="AZ25" s="20">
        <v>0.58064516129032262</v>
      </c>
      <c r="BA25" s="20">
        <v>0.40909090909090912</v>
      </c>
      <c r="BB25" s="20">
        <v>0.98973607038123168</v>
      </c>
      <c r="BC25" s="5" t="s">
        <v>65</v>
      </c>
      <c r="BE25" s="31" t="s">
        <v>254</v>
      </c>
      <c r="BF25" s="155" t="s">
        <v>278</v>
      </c>
      <c r="BG25" s="103">
        <v>9</v>
      </c>
      <c r="BH25" s="219">
        <v>10</v>
      </c>
      <c r="BI25" s="181">
        <v>29</v>
      </c>
      <c r="BJ25" s="181">
        <v>26</v>
      </c>
      <c r="BK25" s="242">
        <f t="shared" ref="BK25:BK38" si="28">BL25+BM25+BN25+BO25</f>
        <v>10</v>
      </c>
      <c r="BL25" s="181">
        <v>10</v>
      </c>
      <c r="BM25" s="181">
        <v>0</v>
      </c>
      <c r="BN25" s="181">
        <v>0</v>
      </c>
      <c r="BO25" s="181">
        <v>0</v>
      </c>
      <c r="BP25" s="242">
        <f t="shared" ref="BP25:BP38" si="29">BL25*1+BM25*2+BN25*3+BO25*4</f>
        <v>10</v>
      </c>
      <c r="BQ25" s="181">
        <v>5</v>
      </c>
      <c r="BR25" s="181">
        <v>10</v>
      </c>
      <c r="BS25" s="181">
        <v>6</v>
      </c>
      <c r="BT25" s="181">
        <v>0</v>
      </c>
      <c r="BU25" s="181">
        <v>0</v>
      </c>
      <c r="BV25" s="181">
        <v>0</v>
      </c>
      <c r="BW25" s="181">
        <v>3</v>
      </c>
      <c r="BX25" s="181">
        <v>0</v>
      </c>
      <c r="BY25" s="238">
        <f t="shared" si="0"/>
        <v>3</v>
      </c>
      <c r="BZ25" s="181">
        <v>7</v>
      </c>
      <c r="CA25" s="221">
        <v>0</v>
      </c>
      <c r="CB25" s="19">
        <f>BK25/BJ25</f>
        <v>0.38461538461538464</v>
      </c>
      <c r="CC25" s="20">
        <f>(BK25+BW25+BX25)/(BJ25+BW25+BX25+BV25+BU25)</f>
        <v>0.44827586206896552</v>
      </c>
      <c r="CD25" s="20">
        <f>((BL25*1)+(BM25*2)+(BN25*3)+(BO25*4))/BJ25</f>
        <v>0.38461538461538464</v>
      </c>
      <c r="CE25" s="21">
        <f>CC25+CD25</f>
        <v>0.83289124668435011</v>
      </c>
      <c r="CF25" s="31" t="s">
        <v>63</v>
      </c>
      <c r="CH25" s="1" t="s">
        <v>476</v>
      </c>
      <c r="CI25" s="259" t="s">
        <v>477</v>
      </c>
      <c r="CJ25" s="9">
        <v>9</v>
      </c>
      <c r="CK25" s="1">
        <v>8</v>
      </c>
      <c r="CL25" s="259">
        <v>23</v>
      </c>
      <c r="CM25" s="259">
        <v>17</v>
      </c>
      <c r="CN25" s="295">
        <f>CO25+CP25+CQ25+CR25</f>
        <v>3</v>
      </c>
      <c r="CO25" s="259">
        <v>3</v>
      </c>
      <c r="CP25" s="259">
        <v>0</v>
      </c>
      <c r="CQ25" s="259">
        <v>0</v>
      </c>
      <c r="CR25" s="259">
        <v>0</v>
      </c>
      <c r="CS25" s="295">
        <f>CO25*1+CP25*2+CQ25*3+CR25*4</f>
        <v>3</v>
      </c>
      <c r="CT25" s="259">
        <v>3</v>
      </c>
      <c r="CU25" s="259">
        <v>4</v>
      </c>
      <c r="CV25" s="259">
        <v>5</v>
      </c>
      <c r="CW25" s="259">
        <v>0</v>
      </c>
      <c r="CX25" s="259">
        <v>0</v>
      </c>
      <c r="CY25" s="259">
        <v>0</v>
      </c>
      <c r="CZ25" s="259">
        <v>6</v>
      </c>
      <c r="DA25" s="259">
        <v>0</v>
      </c>
      <c r="DB25" s="295">
        <f t="shared" ref="DB25:DB35" si="30">CZ25+DA25</f>
        <v>6</v>
      </c>
      <c r="DC25" s="259">
        <v>5</v>
      </c>
      <c r="DD25" s="9">
        <v>0</v>
      </c>
      <c r="DE25" s="19">
        <f>CN25/CM25</f>
        <v>0.17647058823529413</v>
      </c>
      <c r="DF25" s="20">
        <f>(CN25+CZ25+DA25)/(CM25+CZ25+DA25+CY25+CX25)</f>
        <v>0.39130434782608697</v>
      </c>
      <c r="DG25" s="20">
        <f>((CO25*1)+(CP25*2)+(CQ25*3)+(CR25*4))/CM25</f>
        <v>0.17647058823529413</v>
      </c>
      <c r="DH25" s="21">
        <f>DF25+DG25</f>
        <v>0.56777493606138107</v>
      </c>
      <c r="DI25" s="258" t="s">
        <v>478</v>
      </c>
      <c r="DK25" s="1" t="s">
        <v>63</v>
      </c>
      <c r="DL25" s="358" t="s">
        <v>253</v>
      </c>
      <c r="DM25" s="9">
        <v>9</v>
      </c>
      <c r="DN25" s="1"/>
      <c r="DO25" s="358"/>
      <c r="DP25" s="358"/>
      <c r="DQ25" s="358">
        <f>DR25+DS25+DT25+DU25</f>
        <v>0</v>
      </c>
      <c r="DR25" s="358"/>
      <c r="DS25" s="358"/>
      <c r="DT25" s="358"/>
      <c r="DU25" s="358"/>
      <c r="DV25" s="358">
        <f>DR25*1+DS25*2+DT25*3+DU25*4</f>
        <v>0</v>
      </c>
      <c r="DW25" s="358"/>
      <c r="DX25" s="358"/>
      <c r="DY25" s="358"/>
      <c r="DZ25" s="358"/>
      <c r="EA25" s="358"/>
      <c r="EB25" s="358"/>
      <c r="EC25" s="358"/>
      <c r="ED25" s="358"/>
      <c r="EE25" s="358">
        <f t="shared" ref="EE25:EE27" si="31">EC25+ED25</f>
        <v>0</v>
      </c>
      <c r="EF25" s="358"/>
      <c r="EG25" s="9"/>
      <c r="EH25" s="19" t="e">
        <f>DQ25/DP25</f>
        <v>#DIV/0!</v>
      </c>
      <c r="EI25" s="20" t="e">
        <f>(DQ25+EC25+ED25)/(DP25+EC25+ED25+EB25+EA25)</f>
        <v>#DIV/0!</v>
      </c>
      <c r="EJ25" s="20" t="e">
        <f>((DR25*1)+(DS25*2)+(DT25*3)+(DU25*4))/DP25</f>
        <v>#DIV/0!</v>
      </c>
      <c r="EK25" s="21" t="e">
        <f>EI25+EJ25</f>
        <v>#DIV/0!</v>
      </c>
      <c r="EL25" s="290" t="s">
        <v>63</v>
      </c>
    </row>
    <row r="26" spans="1:142" x14ac:dyDescent="0.3">
      <c r="A26" s="5" t="s">
        <v>66</v>
      </c>
      <c r="B26" s="1">
        <v>7</v>
      </c>
      <c r="C26" s="9" t="s">
        <v>58</v>
      </c>
      <c r="D26" s="11">
        <v>11</v>
      </c>
      <c r="E26" s="11">
        <v>39</v>
      </c>
      <c r="F26" s="11">
        <v>35</v>
      </c>
      <c r="G26" s="11">
        <v>22</v>
      </c>
      <c r="H26" s="18">
        <v>17</v>
      </c>
      <c r="I26" s="11">
        <v>5</v>
      </c>
      <c r="J26" s="11">
        <v>0</v>
      </c>
      <c r="K26" s="11">
        <v>0</v>
      </c>
      <c r="L26" s="11">
        <v>27</v>
      </c>
      <c r="M26" s="11">
        <v>15</v>
      </c>
      <c r="N26" s="11">
        <v>20</v>
      </c>
      <c r="O26" s="11">
        <v>11</v>
      </c>
      <c r="P26" s="11">
        <v>2</v>
      </c>
      <c r="Q26" s="11">
        <v>0</v>
      </c>
      <c r="R26" s="11">
        <v>0</v>
      </c>
      <c r="S26" s="11">
        <v>3</v>
      </c>
      <c r="T26" s="4">
        <v>1</v>
      </c>
      <c r="U26" s="215">
        <f t="shared" si="1"/>
        <v>4</v>
      </c>
      <c r="V26" s="11">
        <v>3</v>
      </c>
      <c r="W26" s="11">
        <v>0</v>
      </c>
      <c r="X26" s="19">
        <v>0.62857142857142856</v>
      </c>
      <c r="Y26" s="20">
        <v>0.66666666666666663</v>
      </c>
      <c r="Z26" s="20">
        <v>0.77142857142857146</v>
      </c>
      <c r="AA26" s="21">
        <v>1.4380952380952381</v>
      </c>
      <c r="AB26" s="5" t="s">
        <v>67</v>
      </c>
      <c r="AD26" s="98" t="s">
        <v>113</v>
      </c>
      <c r="AE26" s="33">
        <v>9</v>
      </c>
      <c r="AF26" s="39">
        <v>34</v>
      </c>
      <c r="AG26" s="39">
        <v>29</v>
      </c>
      <c r="AH26" s="39">
        <v>13</v>
      </c>
      <c r="AI26" s="40">
        <v>9</v>
      </c>
      <c r="AJ26" s="40">
        <v>2</v>
      </c>
      <c r="AK26" s="40">
        <v>2</v>
      </c>
      <c r="AL26" s="39">
        <v>0</v>
      </c>
      <c r="AM26" s="40">
        <v>19</v>
      </c>
      <c r="AN26" s="40">
        <v>6</v>
      </c>
      <c r="AO26" s="40">
        <v>16</v>
      </c>
      <c r="AP26" s="40">
        <v>9</v>
      </c>
      <c r="AQ26" s="39">
        <v>1</v>
      </c>
      <c r="AR26" s="39">
        <v>0</v>
      </c>
      <c r="AS26" s="39">
        <v>0</v>
      </c>
      <c r="AT26" s="40">
        <v>4</v>
      </c>
      <c r="AU26" s="39">
        <v>1</v>
      </c>
      <c r="AV26" s="39">
        <f t="shared" si="2"/>
        <v>5</v>
      </c>
      <c r="AW26" s="39">
        <v>3</v>
      </c>
      <c r="AX26" s="32">
        <v>0</v>
      </c>
      <c r="AY26" s="19">
        <v>0.48148148148148145</v>
      </c>
      <c r="AZ26" s="20">
        <v>0.54838709677419351</v>
      </c>
      <c r="BA26" s="20">
        <v>0.70370370370370372</v>
      </c>
      <c r="BB26" s="20">
        <v>1.2520908004778972</v>
      </c>
      <c r="BC26" s="5" t="s">
        <v>67</v>
      </c>
      <c r="BE26" s="31" t="s">
        <v>284</v>
      </c>
      <c r="BF26" s="155" t="s">
        <v>253</v>
      </c>
      <c r="BG26" s="103">
        <v>7</v>
      </c>
      <c r="BH26" s="219">
        <v>6</v>
      </c>
      <c r="BI26" s="181">
        <v>23</v>
      </c>
      <c r="BJ26" s="181">
        <v>19</v>
      </c>
      <c r="BK26" s="242">
        <f t="shared" si="28"/>
        <v>7</v>
      </c>
      <c r="BL26" s="181">
        <v>7</v>
      </c>
      <c r="BM26" s="181">
        <v>0</v>
      </c>
      <c r="BN26" s="181">
        <v>0</v>
      </c>
      <c r="BO26" s="181">
        <v>0</v>
      </c>
      <c r="BP26" s="242">
        <f t="shared" si="29"/>
        <v>7</v>
      </c>
      <c r="BQ26" s="181">
        <v>7</v>
      </c>
      <c r="BR26" s="181">
        <v>10</v>
      </c>
      <c r="BS26" s="181">
        <v>6</v>
      </c>
      <c r="BT26" s="181">
        <v>0</v>
      </c>
      <c r="BU26" s="181">
        <v>0</v>
      </c>
      <c r="BV26" s="181">
        <v>0</v>
      </c>
      <c r="BW26" s="181">
        <v>3</v>
      </c>
      <c r="BX26" s="181">
        <v>1</v>
      </c>
      <c r="BY26" s="238">
        <f t="shared" si="0"/>
        <v>4</v>
      </c>
      <c r="BZ26" s="181">
        <v>2</v>
      </c>
      <c r="CA26" s="221">
        <v>1</v>
      </c>
      <c r="CB26" s="19">
        <f>BK26/BJ26</f>
        <v>0.36842105263157893</v>
      </c>
      <c r="CC26" s="20">
        <f>(BK26+BW26+BX26)/(BJ26+BW26+BX26+BV26+BU26)</f>
        <v>0.47826086956521741</v>
      </c>
      <c r="CD26" s="20">
        <f>((BL26*1)+(BM26*2)+(BN26*3)+(BO26*4))/BJ26</f>
        <v>0.36842105263157893</v>
      </c>
      <c r="CE26" s="21">
        <f>CC26+CD26</f>
        <v>0.84668192219679628</v>
      </c>
      <c r="CF26" s="31" t="s">
        <v>284</v>
      </c>
      <c r="CH26" s="1" t="s">
        <v>284</v>
      </c>
      <c r="CI26" s="259" t="s">
        <v>252</v>
      </c>
      <c r="CJ26" s="9">
        <v>7</v>
      </c>
      <c r="CK26" s="1">
        <v>4</v>
      </c>
      <c r="CL26" s="259">
        <v>9</v>
      </c>
      <c r="CM26" s="259">
        <v>9</v>
      </c>
      <c r="CN26" s="259">
        <f>CO26+CP26+CQ26+CR26</f>
        <v>1</v>
      </c>
      <c r="CO26" s="259">
        <v>1</v>
      </c>
      <c r="CP26" s="259">
        <v>0</v>
      </c>
      <c r="CQ26" s="259">
        <v>0</v>
      </c>
      <c r="CR26" s="259">
        <v>0</v>
      </c>
      <c r="CS26" s="259">
        <f>CO26*1+CP26*2+CQ26*3+CR26*4</f>
        <v>1</v>
      </c>
      <c r="CT26" s="259">
        <v>0</v>
      </c>
      <c r="CU26" s="259">
        <v>2</v>
      </c>
      <c r="CV26" s="259">
        <v>1</v>
      </c>
      <c r="CW26" s="259">
        <v>0</v>
      </c>
      <c r="CX26" s="259">
        <v>0</v>
      </c>
      <c r="CY26" s="259">
        <v>0</v>
      </c>
      <c r="CZ26" s="259">
        <v>0</v>
      </c>
      <c r="DA26" s="259">
        <v>0</v>
      </c>
      <c r="DB26" s="259">
        <f t="shared" si="30"/>
        <v>0</v>
      </c>
      <c r="DC26" s="259">
        <v>4</v>
      </c>
      <c r="DD26" s="9">
        <v>0</v>
      </c>
      <c r="DE26" s="19">
        <f>CN26/CM26</f>
        <v>0.1111111111111111</v>
      </c>
      <c r="DF26" s="20">
        <f>(CN26+CZ26+DA26)/(CM26+CZ26+DA26+CY26+CX26)</f>
        <v>0.1111111111111111</v>
      </c>
      <c r="DG26" s="20">
        <f>((CO26*1)+(CP26*2)+(CQ26*3)+(CR26*4))/CM26</f>
        <v>0.1111111111111111</v>
      </c>
      <c r="DH26" s="21">
        <f>DF26+DG26</f>
        <v>0.22222222222222221</v>
      </c>
      <c r="DI26" s="258" t="s">
        <v>284</v>
      </c>
      <c r="DK26" s="1" t="s">
        <v>67</v>
      </c>
      <c r="DL26" s="358" t="s">
        <v>252</v>
      </c>
      <c r="DM26" s="9">
        <v>7</v>
      </c>
      <c r="DN26" s="1">
        <v>4</v>
      </c>
      <c r="DO26" s="358">
        <v>13</v>
      </c>
      <c r="DP26" s="358">
        <v>11</v>
      </c>
      <c r="DQ26" s="358">
        <f>DR26+DS26+DT26+DU26</f>
        <v>5</v>
      </c>
      <c r="DR26" s="358">
        <v>4</v>
      </c>
      <c r="DS26" s="358">
        <v>1</v>
      </c>
      <c r="DT26" s="358">
        <v>0</v>
      </c>
      <c r="DU26" s="358">
        <v>0</v>
      </c>
      <c r="DV26" s="358">
        <f>DR26*1+DS26*2+DT26*3+DU26*4</f>
        <v>6</v>
      </c>
      <c r="DW26" s="358">
        <v>3</v>
      </c>
      <c r="DX26" s="358">
        <v>3</v>
      </c>
      <c r="DY26" s="358">
        <v>3</v>
      </c>
      <c r="DZ26" s="358">
        <v>0</v>
      </c>
      <c r="EA26" s="358">
        <v>0</v>
      </c>
      <c r="EB26" s="358">
        <v>0</v>
      </c>
      <c r="EC26" s="358">
        <v>2</v>
      </c>
      <c r="ED26" s="358">
        <v>0</v>
      </c>
      <c r="EE26" s="358">
        <f t="shared" si="31"/>
        <v>2</v>
      </c>
      <c r="EF26" s="358">
        <v>1</v>
      </c>
      <c r="EG26" s="9">
        <v>0</v>
      </c>
      <c r="EH26" s="19">
        <f>DQ26/DP26</f>
        <v>0.45454545454545453</v>
      </c>
      <c r="EI26" s="20">
        <f>(DQ26+EC26+ED26)/(DP26+EC26+ED26+EB26+EA26)</f>
        <v>0.53846153846153844</v>
      </c>
      <c r="EJ26" s="20">
        <f>((DR26*1)+(DS26*2)+(DT26*3)+(DU26*4))/DP26</f>
        <v>0.54545454545454541</v>
      </c>
      <c r="EK26" s="21">
        <f>EI26+EJ26</f>
        <v>1.0839160839160837</v>
      </c>
      <c r="EL26" s="290" t="s">
        <v>67</v>
      </c>
    </row>
    <row r="27" spans="1:142" x14ac:dyDescent="0.3">
      <c r="A27" s="5" t="s">
        <v>68</v>
      </c>
      <c r="B27" s="1">
        <v>51</v>
      </c>
      <c r="C27" s="9" t="s">
        <v>4</v>
      </c>
      <c r="D27" s="11">
        <v>15</v>
      </c>
      <c r="E27" s="11">
        <v>36</v>
      </c>
      <c r="F27" s="11">
        <v>29</v>
      </c>
      <c r="G27" s="11">
        <v>12</v>
      </c>
      <c r="H27" s="18">
        <v>10</v>
      </c>
      <c r="I27" s="11">
        <v>2</v>
      </c>
      <c r="J27" s="11">
        <v>0</v>
      </c>
      <c r="K27" s="11">
        <v>0</v>
      </c>
      <c r="L27" s="11">
        <v>14</v>
      </c>
      <c r="M27" s="11">
        <v>6</v>
      </c>
      <c r="N27" s="11">
        <v>10</v>
      </c>
      <c r="O27" s="11">
        <v>6</v>
      </c>
      <c r="P27" s="11">
        <v>0</v>
      </c>
      <c r="Q27" s="11">
        <v>0</v>
      </c>
      <c r="R27" s="11">
        <v>0</v>
      </c>
      <c r="S27" s="11">
        <v>7</v>
      </c>
      <c r="T27" s="4">
        <v>0</v>
      </c>
      <c r="U27" s="215">
        <f t="shared" si="1"/>
        <v>7</v>
      </c>
      <c r="V27" s="11">
        <v>2</v>
      </c>
      <c r="W27" s="11">
        <v>1</v>
      </c>
      <c r="X27" s="19">
        <v>0.41379310344827586</v>
      </c>
      <c r="Y27" s="20">
        <v>0.52777777777777779</v>
      </c>
      <c r="Z27" s="20">
        <v>0.48275862068965519</v>
      </c>
      <c r="AA27" s="21">
        <v>1.0105363984674329</v>
      </c>
      <c r="AB27" s="5" t="s">
        <v>68</v>
      </c>
      <c r="AD27" s="98" t="s">
        <v>114</v>
      </c>
      <c r="AE27" s="33">
        <v>9</v>
      </c>
      <c r="AF27" s="39">
        <v>31</v>
      </c>
      <c r="AG27" s="39">
        <v>25</v>
      </c>
      <c r="AH27" s="39">
        <v>9</v>
      </c>
      <c r="AI27" s="40">
        <v>8</v>
      </c>
      <c r="AJ27" s="40">
        <v>1</v>
      </c>
      <c r="AK27" s="40">
        <v>0</v>
      </c>
      <c r="AL27" s="39">
        <v>0</v>
      </c>
      <c r="AM27" s="40">
        <v>10</v>
      </c>
      <c r="AN27" s="40">
        <v>12</v>
      </c>
      <c r="AO27" s="40">
        <v>11</v>
      </c>
      <c r="AP27" s="40">
        <v>2</v>
      </c>
      <c r="AQ27" s="39">
        <v>0</v>
      </c>
      <c r="AR27" s="39">
        <v>0</v>
      </c>
      <c r="AS27" s="39">
        <v>2</v>
      </c>
      <c r="AT27" s="40">
        <v>3</v>
      </c>
      <c r="AU27" s="39">
        <v>1</v>
      </c>
      <c r="AV27" s="39">
        <f t="shared" si="2"/>
        <v>4</v>
      </c>
      <c r="AW27" s="39">
        <v>3</v>
      </c>
      <c r="AX27" s="32">
        <v>0</v>
      </c>
      <c r="AY27" s="19">
        <v>0.36</v>
      </c>
      <c r="AZ27" s="20">
        <v>0.41935483870967744</v>
      </c>
      <c r="BA27" s="20">
        <v>0.4</v>
      </c>
      <c r="BB27" s="20">
        <v>0.8193548387096774</v>
      </c>
      <c r="BC27" s="5" t="s">
        <v>68</v>
      </c>
      <c r="BE27" s="31" t="s">
        <v>255</v>
      </c>
      <c r="BF27" s="155" t="s">
        <v>252</v>
      </c>
      <c r="BG27" s="103">
        <v>51</v>
      </c>
      <c r="BH27" s="219">
        <v>11</v>
      </c>
      <c r="BI27" s="181">
        <v>36</v>
      </c>
      <c r="BJ27" s="181">
        <v>29</v>
      </c>
      <c r="BK27" s="242">
        <f t="shared" si="28"/>
        <v>9</v>
      </c>
      <c r="BL27" s="181">
        <v>9</v>
      </c>
      <c r="BM27" s="181">
        <v>0</v>
      </c>
      <c r="BN27" s="181">
        <v>0</v>
      </c>
      <c r="BO27" s="181">
        <v>0</v>
      </c>
      <c r="BP27" s="242">
        <f t="shared" si="29"/>
        <v>9</v>
      </c>
      <c r="BQ27" s="181">
        <v>10</v>
      </c>
      <c r="BR27" s="181">
        <v>6</v>
      </c>
      <c r="BS27" s="181">
        <v>5</v>
      </c>
      <c r="BT27" s="181">
        <v>0</v>
      </c>
      <c r="BU27" s="181">
        <v>0</v>
      </c>
      <c r="BV27" s="181">
        <v>0</v>
      </c>
      <c r="BW27" s="181">
        <v>5</v>
      </c>
      <c r="BX27" s="181">
        <v>2</v>
      </c>
      <c r="BY27" s="238">
        <f t="shared" si="0"/>
        <v>7</v>
      </c>
      <c r="BZ27" s="181">
        <v>1</v>
      </c>
      <c r="CA27" s="221">
        <v>0</v>
      </c>
      <c r="CB27" s="19">
        <f>BK27/BJ27</f>
        <v>0.31034482758620691</v>
      </c>
      <c r="CC27" s="20">
        <f>(BK27+BW27+BX27)/(BJ27+BW27+BX27+BV27+BU27)</f>
        <v>0.44444444444444442</v>
      </c>
      <c r="CD27" s="20">
        <f>((BL27*1)+(BM27*2)+(BN27*3)+(BO27*4))/BJ27</f>
        <v>0.31034482758620691</v>
      </c>
      <c r="CE27" s="21">
        <f>CC27+CD27</f>
        <v>0.75478927203065127</v>
      </c>
      <c r="CF27" s="31" t="s">
        <v>68</v>
      </c>
      <c r="CH27" s="1" t="s">
        <v>255</v>
      </c>
      <c r="CI27" s="259" t="s">
        <v>252</v>
      </c>
      <c r="CJ27" s="9">
        <v>51</v>
      </c>
      <c r="CK27" s="1">
        <v>18</v>
      </c>
      <c r="CL27" s="259">
        <v>57</v>
      </c>
      <c r="CM27" s="259">
        <v>49</v>
      </c>
      <c r="CN27" s="259">
        <f>CO27+CP27+CQ27+CR27</f>
        <v>25</v>
      </c>
      <c r="CO27" s="259">
        <v>20</v>
      </c>
      <c r="CP27" s="259">
        <v>5</v>
      </c>
      <c r="CQ27" s="259">
        <v>0</v>
      </c>
      <c r="CR27" s="259">
        <v>0</v>
      </c>
      <c r="CS27" s="259">
        <f>CO27*1+CP27*2+CQ27*3+CR27*4</f>
        <v>30</v>
      </c>
      <c r="CT27" s="259">
        <v>13</v>
      </c>
      <c r="CU27" s="259">
        <v>14</v>
      </c>
      <c r="CV27" s="259">
        <v>14</v>
      </c>
      <c r="CW27" s="259">
        <v>0</v>
      </c>
      <c r="CX27" s="259">
        <v>0</v>
      </c>
      <c r="CY27" s="259">
        <v>0</v>
      </c>
      <c r="CZ27" s="259">
        <v>7</v>
      </c>
      <c r="DA27" s="259">
        <v>1</v>
      </c>
      <c r="DB27" s="259">
        <f t="shared" si="30"/>
        <v>8</v>
      </c>
      <c r="DC27" s="259">
        <v>1</v>
      </c>
      <c r="DD27" s="9">
        <v>1</v>
      </c>
      <c r="DE27" s="19">
        <f>CN27/CM27</f>
        <v>0.51020408163265307</v>
      </c>
      <c r="DF27" s="20">
        <f>(CN27+CZ27+DA27)/(CM27+CZ27+DA27+CY27+CX27)</f>
        <v>0.57894736842105265</v>
      </c>
      <c r="DG27" s="20">
        <f>((CO27*1)+(CP27*2)+(CQ27*3)+(CR27*4))/CM27</f>
        <v>0.61224489795918369</v>
      </c>
      <c r="DH27" s="21">
        <f>DF27+DG27</f>
        <v>1.1911922663802363</v>
      </c>
      <c r="DI27" s="258" t="s">
        <v>68</v>
      </c>
      <c r="DJ27" s="4" t="s">
        <v>602</v>
      </c>
      <c r="DK27" s="1" t="s">
        <v>255</v>
      </c>
      <c r="DL27" s="358" t="s">
        <v>252</v>
      </c>
      <c r="DM27" s="9">
        <v>51</v>
      </c>
      <c r="DN27" s="1">
        <v>3</v>
      </c>
      <c r="DO27" s="358">
        <v>10</v>
      </c>
      <c r="DP27" s="358">
        <v>9</v>
      </c>
      <c r="DQ27" s="358">
        <f>DR27+DS27+DT27+DU27</f>
        <v>4</v>
      </c>
      <c r="DR27" s="358">
        <v>4</v>
      </c>
      <c r="DS27" s="358">
        <v>0</v>
      </c>
      <c r="DT27" s="358">
        <v>0</v>
      </c>
      <c r="DU27" s="358">
        <v>0</v>
      </c>
      <c r="DV27" s="358">
        <f>DR27*1+DS27*2+DT27*3+DU27*4</f>
        <v>4</v>
      </c>
      <c r="DW27" s="358">
        <v>5</v>
      </c>
      <c r="DX27" s="358">
        <v>3</v>
      </c>
      <c r="DY27" s="358">
        <v>1</v>
      </c>
      <c r="DZ27" s="358">
        <v>0</v>
      </c>
      <c r="EA27" s="358">
        <v>0</v>
      </c>
      <c r="EB27" s="358">
        <v>0</v>
      </c>
      <c r="EC27" s="358">
        <v>1</v>
      </c>
      <c r="ED27" s="358">
        <v>0</v>
      </c>
      <c r="EE27" s="358">
        <f t="shared" si="31"/>
        <v>1</v>
      </c>
      <c r="EF27" s="358">
        <v>0</v>
      </c>
      <c r="EG27" s="9">
        <v>0</v>
      </c>
      <c r="EH27" s="19">
        <f>DQ27/DP27</f>
        <v>0.44444444444444442</v>
      </c>
      <c r="EI27" s="20">
        <f>(DQ27+EC27+ED27)/(DP27+EC27+ED27+EB27+EA27)</f>
        <v>0.5</v>
      </c>
      <c r="EJ27" s="20">
        <f>((DR27*1)+(DS27*2)+(DT27*3)+(DU27*4))/DP27</f>
        <v>0.44444444444444442</v>
      </c>
      <c r="EK27" s="21">
        <f>EI27+EJ27</f>
        <v>0.94444444444444442</v>
      </c>
      <c r="EL27" s="290" t="s">
        <v>68</v>
      </c>
    </row>
    <row r="28" spans="1:142" x14ac:dyDescent="0.3">
      <c r="A28" s="5" t="s">
        <v>69</v>
      </c>
      <c r="B28" s="1">
        <v>25</v>
      </c>
      <c r="C28" s="9" t="s">
        <v>7</v>
      </c>
      <c r="D28" s="11">
        <v>8</v>
      </c>
      <c r="E28" s="11">
        <v>15</v>
      </c>
      <c r="F28" s="11">
        <v>11</v>
      </c>
      <c r="G28" s="11">
        <v>5</v>
      </c>
      <c r="H28" s="18">
        <v>3</v>
      </c>
      <c r="I28" s="11">
        <v>2</v>
      </c>
      <c r="J28" s="11">
        <v>0</v>
      </c>
      <c r="K28" s="11">
        <v>0</v>
      </c>
      <c r="L28" s="11">
        <v>7</v>
      </c>
      <c r="M28" s="11">
        <v>6</v>
      </c>
      <c r="N28" s="11">
        <v>4</v>
      </c>
      <c r="O28" s="11">
        <v>0</v>
      </c>
      <c r="P28" s="11">
        <v>0</v>
      </c>
      <c r="Q28" s="11">
        <v>0</v>
      </c>
      <c r="R28" s="11">
        <v>0</v>
      </c>
      <c r="S28" s="11">
        <v>3</v>
      </c>
      <c r="T28" s="4">
        <v>1</v>
      </c>
      <c r="U28" s="215">
        <f t="shared" si="1"/>
        <v>4</v>
      </c>
      <c r="V28" s="11">
        <v>3</v>
      </c>
      <c r="W28" s="11">
        <v>0</v>
      </c>
      <c r="X28" s="19">
        <v>0.45454545454545453</v>
      </c>
      <c r="Y28" s="20">
        <v>0.6</v>
      </c>
      <c r="Z28" s="20">
        <v>0.63636363636363635</v>
      </c>
      <c r="AA28" s="21">
        <v>1.2363636363636363</v>
      </c>
      <c r="AB28" s="5" t="s">
        <v>69</v>
      </c>
      <c r="AD28" s="1"/>
      <c r="AE28" s="45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121"/>
      <c r="AU28" s="46"/>
      <c r="AV28" s="39"/>
      <c r="AW28" s="46"/>
      <c r="AX28" s="47"/>
      <c r="AY28" s="1"/>
      <c r="AZ28" s="108"/>
      <c r="BA28" s="108"/>
      <c r="BB28" s="108"/>
      <c r="BC28" s="5"/>
      <c r="BE28" s="5"/>
      <c r="BF28" s="173"/>
      <c r="BG28" s="9"/>
      <c r="BH28" s="1"/>
      <c r="BI28" s="205"/>
      <c r="BJ28" s="205"/>
      <c r="BK28" s="242">
        <f t="shared" si="28"/>
        <v>0</v>
      </c>
      <c r="BL28" s="205"/>
      <c r="BM28" s="205"/>
      <c r="BN28" s="205"/>
      <c r="BO28" s="205"/>
      <c r="BP28" s="242">
        <f t="shared" si="29"/>
        <v>0</v>
      </c>
      <c r="BQ28" s="205"/>
      <c r="BR28" s="205"/>
      <c r="BS28" s="205"/>
      <c r="BT28" s="205"/>
      <c r="BU28" s="205"/>
      <c r="BV28" s="205"/>
      <c r="BW28" s="205"/>
      <c r="BX28" s="205"/>
      <c r="BY28" s="238">
        <f t="shared" si="0"/>
        <v>0</v>
      </c>
      <c r="BZ28" s="205"/>
      <c r="CA28" s="9"/>
      <c r="CB28" s="1"/>
      <c r="CC28" s="173"/>
      <c r="CD28" s="173"/>
      <c r="CE28" s="9"/>
      <c r="CF28" s="5"/>
      <c r="CH28" s="1"/>
      <c r="CI28" s="259"/>
      <c r="CJ28" s="9"/>
      <c r="CK28" s="1"/>
      <c r="CL28" s="259"/>
      <c r="CM28" s="259"/>
      <c r="CN28" s="304"/>
      <c r="CO28" s="259"/>
      <c r="CP28" s="259"/>
      <c r="CQ28" s="259"/>
      <c r="CR28" s="259"/>
      <c r="CS28" s="304"/>
      <c r="CT28" s="259"/>
      <c r="CU28" s="259"/>
      <c r="CV28" s="259"/>
      <c r="CW28" s="259"/>
      <c r="CX28" s="259"/>
      <c r="CY28" s="259"/>
      <c r="CZ28" s="259"/>
      <c r="DA28" s="259"/>
      <c r="DB28" s="304"/>
      <c r="DC28" s="259"/>
      <c r="DD28" s="9"/>
      <c r="DE28" s="19"/>
      <c r="DF28" s="20"/>
      <c r="DG28" s="20"/>
      <c r="DH28" s="21"/>
      <c r="DI28" s="258"/>
      <c r="DK28" s="1"/>
      <c r="DL28" s="358"/>
      <c r="DM28" s="9"/>
      <c r="DN28" s="1"/>
      <c r="DO28" s="358"/>
      <c r="DP28" s="358"/>
      <c r="DQ28" s="358"/>
      <c r="DR28" s="358"/>
      <c r="DS28" s="358"/>
      <c r="DT28" s="358"/>
      <c r="DU28" s="358"/>
      <c r="DV28" s="358"/>
      <c r="DW28" s="358"/>
      <c r="DX28" s="358"/>
      <c r="DY28" s="358"/>
      <c r="DZ28" s="358"/>
      <c r="EA28" s="358"/>
      <c r="EB28" s="358"/>
      <c r="EC28" s="358"/>
      <c r="ED28" s="358"/>
      <c r="EE28" s="358"/>
      <c r="EF28" s="358"/>
      <c r="EG28" s="9"/>
      <c r="EH28" s="19"/>
      <c r="EI28" s="20"/>
      <c r="EJ28" s="20"/>
      <c r="EK28" s="21"/>
      <c r="EL28" s="290"/>
    </row>
    <row r="29" spans="1:142" s="290" customFormat="1" x14ac:dyDescent="0.3">
      <c r="A29" s="5"/>
      <c r="B29" s="1"/>
      <c r="C29" s="9"/>
      <c r="D29" s="304"/>
      <c r="E29" s="304"/>
      <c r="F29" s="304"/>
      <c r="G29" s="304"/>
      <c r="H29" s="18"/>
      <c r="I29" s="304"/>
      <c r="J29" s="304"/>
      <c r="K29" s="304"/>
      <c r="L29" s="304"/>
      <c r="M29" s="304"/>
      <c r="N29" s="304"/>
      <c r="O29" s="304"/>
      <c r="P29" s="304"/>
      <c r="Q29" s="304"/>
      <c r="R29" s="304"/>
      <c r="S29" s="304"/>
      <c r="V29" s="304"/>
      <c r="W29" s="304"/>
      <c r="X29" s="19"/>
      <c r="Y29" s="20"/>
      <c r="Z29" s="20"/>
      <c r="AA29" s="21"/>
      <c r="AB29" s="5"/>
      <c r="AD29" s="1"/>
      <c r="AE29" s="45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121"/>
      <c r="AU29" s="46"/>
      <c r="AV29" s="39"/>
      <c r="AW29" s="46"/>
      <c r="AX29" s="47"/>
      <c r="AY29" s="1"/>
      <c r="AZ29" s="304"/>
      <c r="BA29" s="304"/>
      <c r="BB29" s="304"/>
      <c r="BC29" s="5"/>
      <c r="BE29" s="5"/>
      <c r="BF29" s="304"/>
      <c r="BG29" s="9"/>
      <c r="BH29" s="1"/>
      <c r="BI29" s="304"/>
      <c r="BJ29" s="304"/>
      <c r="BK29" s="242"/>
      <c r="BL29" s="304"/>
      <c r="BM29" s="304"/>
      <c r="BN29" s="304"/>
      <c r="BO29" s="304"/>
      <c r="BP29" s="242"/>
      <c r="BQ29" s="304"/>
      <c r="BR29" s="304"/>
      <c r="BS29" s="304"/>
      <c r="BT29" s="304"/>
      <c r="BU29" s="304"/>
      <c r="BV29" s="304"/>
      <c r="BW29" s="304"/>
      <c r="BX29" s="304"/>
      <c r="BY29" s="238"/>
      <c r="BZ29" s="304"/>
      <c r="CA29" s="9"/>
      <c r="CB29" s="1"/>
      <c r="CC29" s="304"/>
      <c r="CD29" s="304"/>
      <c r="CE29" s="9"/>
      <c r="CF29" s="5"/>
      <c r="CH29" s="1" t="s">
        <v>550</v>
      </c>
      <c r="CI29" s="304" t="s">
        <v>551</v>
      </c>
      <c r="CJ29" s="9">
        <v>53</v>
      </c>
      <c r="CK29" s="1">
        <v>2</v>
      </c>
      <c r="CL29" s="304">
        <v>5</v>
      </c>
      <c r="CM29" s="304">
        <v>4</v>
      </c>
      <c r="CN29" s="304">
        <f t="shared" ref="CN29" si="32">CO29+CP29+CQ29+CR29</f>
        <v>0</v>
      </c>
      <c r="CO29" s="304">
        <v>0</v>
      </c>
      <c r="CP29" s="304">
        <v>0</v>
      </c>
      <c r="CQ29" s="304">
        <v>0</v>
      </c>
      <c r="CR29" s="304">
        <v>0</v>
      </c>
      <c r="CS29" s="304">
        <f t="shared" ref="CS29" si="33">CO29*1+CP29*2+CQ29*3+CR29*4</f>
        <v>0</v>
      </c>
      <c r="CT29" s="304">
        <v>0</v>
      </c>
      <c r="CU29" s="304">
        <v>0</v>
      </c>
      <c r="CV29" s="304">
        <v>1</v>
      </c>
      <c r="CW29" s="304">
        <v>0</v>
      </c>
      <c r="CX29" s="304">
        <v>0</v>
      </c>
      <c r="CY29" s="304">
        <v>0</v>
      </c>
      <c r="CZ29" s="304">
        <v>1</v>
      </c>
      <c r="DA29" s="304">
        <v>0</v>
      </c>
      <c r="DB29" s="304">
        <f t="shared" si="30"/>
        <v>1</v>
      </c>
      <c r="DC29" s="304">
        <v>1</v>
      </c>
      <c r="DD29" s="9">
        <v>0</v>
      </c>
      <c r="DE29" s="19">
        <f t="shared" ref="DE29" si="34">CN29/CM29</f>
        <v>0</v>
      </c>
      <c r="DF29" s="20">
        <f t="shared" ref="DF29" si="35">(CN29+CZ29+DA29)/(CM29+CZ29+DA29+CY29+CX29)</f>
        <v>0.2</v>
      </c>
      <c r="DG29" s="20">
        <f t="shared" ref="DG29" si="36">((CO29*1)+(CP29*2)+(CQ29*3)+(CR29*4))/CM29</f>
        <v>0</v>
      </c>
      <c r="DH29" s="21">
        <f t="shared" ref="DH29" si="37">DF29+DG29</f>
        <v>0.2</v>
      </c>
      <c r="DI29" s="290" t="s">
        <v>552</v>
      </c>
      <c r="DK29" s="1" t="s">
        <v>550</v>
      </c>
      <c r="DL29" s="358" t="s">
        <v>253</v>
      </c>
      <c r="DM29" s="9">
        <v>53</v>
      </c>
      <c r="DN29" s="1">
        <v>1</v>
      </c>
      <c r="DO29" s="358">
        <v>2</v>
      </c>
      <c r="DP29" s="358">
        <v>1</v>
      </c>
      <c r="DQ29" s="358">
        <f t="shared" ref="DQ29:DQ30" si="38">DR29+DS29+DT29+DU29</f>
        <v>0</v>
      </c>
      <c r="DR29" s="358">
        <v>0</v>
      </c>
      <c r="DS29" s="358">
        <v>0</v>
      </c>
      <c r="DT29" s="358">
        <v>0</v>
      </c>
      <c r="DU29" s="358">
        <v>0</v>
      </c>
      <c r="DV29" s="358">
        <f t="shared" ref="DV29:DV30" si="39">DR29*1+DS29*2+DT29*3+DU29*4</f>
        <v>0</v>
      </c>
      <c r="DW29" s="358">
        <v>1</v>
      </c>
      <c r="DX29" s="358">
        <v>0</v>
      </c>
      <c r="DY29" s="358">
        <v>0</v>
      </c>
      <c r="DZ29" s="358">
        <v>0</v>
      </c>
      <c r="EA29" s="358">
        <v>0</v>
      </c>
      <c r="EB29" s="358">
        <v>0</v>
      </c>
      <c r="EC29" s="358">
        <v>1</v>
      </c>
      <c r="ED29" s="358">
        <v>0</v>
      </c>
      <c r="EE29" s="358">
        <f t="shared" ref="EE29:EE30" si="40">EC29+ED29</f>
        <v>1</v>
      </c>
      <c r="EF29" s="358">
        <v>0</v>
      </c>
      <c r="EG29" s="9">
        <v>0</v>
      </c>
      <c r="EH29" s="19">
        <f t="shared" ref="EH29:EH30" si="41">DQ29/DP29</f>
        <v>0</v>
      </c>
      <c r="EI29" s="20">
        <f t="shared" ref="EI29:EI30" si="42">(DQ29+EC29+ED29)/(DP29+EC29+ED29+EB29+EA29)</f>
        <v>0.5</v>
      </c>
      <c r="EJ29" s="20">
        <f t="shared" ref="EJ29:EJ30" si="43">((DR29*1)+(DS29*2)+(DT29*3)+(DU29*4))/DP29</f>
        <v>0</v>
      </c>
      <c r="EK29" s="21">
        <f t="shared" ref="EK29:EK30" si="44">EI29+EJ29</f>
        <v>0.5</v>
      </c>
      <c r="EL29" s="290" t="s">
        <v>550</v>
      </c>
    </row>
    <row r="30" spans="1:142" x14ac:dyDescent="0.3">
      <c r="A30" s="5" t="s">
        <v>70</v>
      </c>
      <c r="B30" s="1">
        <v>62</v>
      </c>
      <c r="C30" s="9" t="s">
        <v>51</v>
      </c>
      <c r="D30" s="11">
        <v>7</v>
      </c>
      <c r="E30" s="11">
        <v>17</v>
      </c>
      <c r="F30" s="11">
        <v>12</v>
      </c>
      <c r="G30" s="11">
        <v>4</v>
      </c>
      <c r="H30" s="18">
        <v>0</v>
      </c>
      <c r="I30" s="11">
        <v>4</v>
      </c>
      <c r="J30" s="11">
        <v>0</v>
      </c>
      <c r="K30" s="11">
        <v>0</v>
      </c>
      <c r="L30" s="11">
        <v>8</v>
      </c>
      <c r="M30" s="11">
        <v>8</v>
      </c>
      <c r="N30" s="11">
        <v>6</v>
      </c>
      <c r="O30" s="11">
        <v>1</v>
      </c>
      <c r="P30" s="11">
        <v>0</v>
      </c>
      <c r="Q30" s="11">
        <v>0</v>
      </c>
      <c r="R30" s="11">
        <v>0</v>
      </c>
      <c r="S30" s="11">
        <v>2</v>
      </c>
      <c r="T30" s="4">
        <v>3</v>
      </c>
      <c r="U30" s="215">
        <f t="shared" si="1"/>
        <v>5</v>
      </c>
      <c r="V30" s="11">
        <v>2</v>
      </c>
      <c r="W30" s="11">
        <v>0</v>
      </c>
      <c r="X30" s="19">
        <v>0.33333333333333331</v>
      </c>
      <c r="Y30" s="20">
        <v>0.52941176470588236</v>
      </c>
      <c r="Z30" s="20">
        <v>0.66666666666666663</v>
      </c>
      <c r="AA30" s="21">
        <v>1.196078431372549</v>
      </c>
      <c r="AB30" s="5" t="s">
        <v>71</v>
      </c>
      <c r="AD30" s="98" t="s">
        <v>71</v>
      </c>
      <c r="AE30" s="33">
        <v>3</v>
      </c>
      <c r="AF30" s="39">
        <v>12</v>
      </c>
      <c r="AG30" s="39">
        <v>11</v>
      </c>
      <c r="AH30" s="39">
        <v>7</v>
      </c>
      <c r="AI30" s="40">
        <v>7</v>
      </c>
      <c r="AJ30" s="40">
        <v>0</v>
      </c>
      <c r="AK30" s="40">
        <v>0</v>
      </c>
      <c r="AL30" s="39">
        <v>0</v>
      </c>
      <c r="AM30" s="40">
        <v>7</v>
      </c>
      <c r="AN30" s="40">
        <v>2</v>
      </c>
      <c r="AO30" s="40">
        <v>7</v>
      </c>
      <c r="AP30" s="40">
        <v>6</v>
      </c>
      <c r="AQ30" s="39">
        <v>0</v>
      </c>
      <c r="AR30" s="39">
        <v>0</v>
      </c>
      <c r="AS30" s="39">
        <v>0</v>
      </c>
      <c r="AT30" s="40">
        <v>0</v>
      </c>
      <c r="AU30" s="39">
        <v>1</v>
      </c>
      <c r="AV30" s="39">
        <f t="shared" si="2"/>
        <v>1</v>
      </c>
      <c r="AW30" s="39">
        <v>2</v>
      </c>
      <c r="AX30" s="32">
        <v>0</v>
      </c>
      <c r="AY30" s="19">
        <v>0.63636363636363635</v>
      </c>
      <c r="AZ30" s="20">
        <v>0.66666666666666663</v>
      </c>
      <c r="BA30" s="20">
        <v>0.63636363636363635</v>
      </c>
      <c r="BB30" s="20">
        <v>1.303030303030303</v>
      </c>
      <c r="BC30" s="5" t="s">
        <v>71</v>
      </c>
      <c r="BE30" s="31" t="s">
        <v>70</v>
      </c>
      <c r="BF30" s="155" t="s">
        <v>278</v>
      </c>
      <c r="BG30" s="103">
        <v>62</v>
      </c>
      <c r="BH30" s="219">
        <v>1</v>
      </c>
      <c r="BI30" s="181">
        <v>2</v>
      </c>
      <c r="BJ30" s="181">
        <v>1</v>
      </c>
      <c r="BK30" s="242">
        <f t="shared" si="28"/>
        <v>0</v>
      </c>
      <c r="BL30" s="181">
        <v>0</v>
      </c>
      <c r="BM30" s="181">
        <v>0</v>
      </c>
      <c r="BN30" s="181">
        <v>0</v>
      </c>
      <c r="BO30" s="181">
        <v>0</v>
      </c>
      <c r="BP30" s="242">
        <f t="shared" si="29"/>
        <v>0</v>
      </c>
      <c r="BQ30" s="181">
        <v>1</v>
      </c>
      <c r="BR30" s="181">
        <v>0</v>
      </c>
      <c r="BS30" s="181">
        <v>1</v>
      </c>
      <c r="BT30" s="181">
        <v>0</v>
      </c>
      <c r="BU30" s="181">
        <v>0</v>
      </c>
      <c r="BV30" s="181">
        <v>0</v>
      </c>
      <c r="BW30" s="181">
        <v>1</v>
      </c>
      <c r="BX30" s="181">
        <v>0</v>
      </c>
      <c r="BY30" s="238">
        <f t="shared" si="0"/>
        <v>1</v>
      </c>
      <c r="BZ30" s="181">
        <v>0</v>
      </c>
      <c r="CA30" s="221">
        <v>0</v>
      </c>
      <c r="CB30" s="19">
        <f>BK30/BJ30</f>
        <v>0</v>
      </c>
      <c r="CC30" s="20">
        <f>(BK30+BW30+BX30)/(BJ30+BW30+BX30+BV30+BU30)</f>
        <v>0.5</v>
      </c>
      <c r="CD30" s="20">
        <f>((BL30*1)+(BM30*2)+(BN30*3)+(BO30*4))/BJ30</f>
        <v>0</v>
      </c>
      <c r="CE30" s="21">
        <f>CC30+CD30</f>
        <v>0.5</v>
      </c>
      <c r="CF30" s="31" t="s">
        <v>70</v>
      </c>
      <c r="CH30" s="1"/>
      <c r="CI30" s="259"/>
      <c r="CJ30" s="9"/>
      <c r="CK30" s="1"/>
      <c r="CL30" s="259"/>
      <c r="CM30" s="259"/>
      <c r="CN30" s="259"/>
      <c r="CO30" s="259"/>
      <c r="CP30" s="259"/>
      <c r="CQ30" s="259"/>
      <c r="CR30" s="259"/>
      <c r="CS30" s="259"/>
      <c r="CT30" s="259"/>
      <c r="CU30" s="259"/>
      <c r="CV30" s="259"/>
      <c r="CW30" s="259"/>
      <c r="CX30" s="259"/>
      <c r="CY30" s="259"/>
      <c r="CZ30" s="259"/>
      <c r="DA30" s="259"/>
      <c r="DB30" s="298"/>
      <c r="DC30" s="259"/>
      <c r="DD30" s="9"/>
      <c r="DE30" s="19"/>
      <c r="DF30" s="20"/>
      <c r="DG30" s="20"/>
      <c r="DH30" s="21"/>
      <c r="DI30" s="258"/>
      <c r="DK30" s="1" t="s">
        <v>608</v>
      </c>
      <c r="DL30" s="358" t="s">
        <v>610</v>
      </c>
      <c r="DM30" s="9">
        <v>62</v>
      </c>
      <c r="DN30" s="1"/>
      <c r="DO30" s="358"/>
      <c r="DP30" s="358"/>
      <c r="DQ30" s="358">
        <f t="shared" si="38"/>
        <v>0</v>
      </c>
      <c r="DR30" s="358"/>
      <c r="DS30" s="358"/>
      <c r="DT30" s="358"/>
      <c r="DU30" s="358"/>
      <c r="DV30" s="358">
        <f t="shared" si="39"/>
        <v>0</v>
      </c>
      <c r="DW30" s="358"/>
      <c r="DX30" s="358"/>
      <c r="DY30" s="358"/>
      <c r="DZ30" s="358"/>
      <c r="EA30" s="358"/>
      <c r="EB30" s="358"/>
      <c r="EC30" s="358"/>
      <c r="ED30" s="358"/>
      <c r="EE30" s="358">
        <f t="shared" si="40"/>
        <v>0</v>
      </c>
      <c r="EF30" s="358"/>
      <c r="EG30" s="9"/>
      <c r="EH30" s="19" t="e">
        <f t="shared" si="41"/>
        <v>#DIV/0!</v>
      </c>
      <c r="EI30" s="20" t="e">
        <f t="shared" si="42"/>
        <v>#DIV/0!</v>
      </c>
      <c r="EJ30" s="20" t="e">
        <f t="shared" si="43"/>
        <v>#DIV/0!</v>
      </c>
      <c r="EK30" s="21" t="e">
        <f t="shared" si="44"/>
        <v>#DIV/0!</v>
      </c>
      <c r="EL30" s="290" t="s">
        <v>609</v>
      </c>
    </row>
    <row r="31" spans="1:142" x14ac:dyDescent="0.3">
      <c r="A31" s="5" t="s">
        <v>8</v>
      </c>
      <c r="B31" s="1">
        <v>0</v>
      </c>
      <c r="C31" s="9" t="s">
        <v>56</v>
      </c>
      <c r="D31" s="11">
        <v>1</v>
      </c>
      <c r="E31" s="11">
        <v>2</v>
      </c>
      <c r="F31" s="11">
        <v>2</v>
      </c>
      <c r="G31" s="11">
        <v>0</v>
      </c>
      <c r="H31" s="18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4">
        <v>0</v>
      </c>
      <c r="U31" s="215">
        <f t="shared" si="1"/>
        <v>0</v>
      </c>
      <c r="V31" s="11">
        <v>0</v>
      </c>
      <c r="W31" s="11">
        <v>1</v>
      </c>
      <c r="X31" s="19">
        <v>0</v>
      </c>
      <c r="Y31" s="20">
        <v>0</v>
      </c>
      <c r="Z31" s="20">
        <v>0</v>
      </c>
      <c r="AA31" s="21">
        <v>0</v>
      </c>
      <c r="AB31" s="5" t="s">
        <v>8</v>
      </c>
      <c r="AD31" s="1"/>
      <c r="AE31" s="45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121"/>
      <c r="AU31" s="46"/>
      <c r="AV31" s="39"/>
      <c r="AW31" s="46"/>
      <c r="AX31" s="47"/>
      <c r="AY31" s="1"/>
      <c r="AZ31" s="108"/>
      <c r="BA31" s="108"/>
      <c r="BB31" s="108"/>
      <c r="BC31" s="5"/>
      <c r="BE31" s="5"/>
      <c r="BF31" s="173"/>
      <c r="BG31" s="9"/>
      <c r="BH31" s="1"/>
      <c r="BI31" s="205"/>
      <c r="BJ31" s="205"/>
      <c r="BK31" s="242">
        <f t="shared" si="28"/>
        <v>0</v>
      </c>
      <c r="BL31" s="205"/>
      <c r="BM31" s="205"/>
      <c r="BN31" s="205"/>
      <c r="BO31" s="205"/>
      <c r="BP31" s="242">
        <f t="shared" si="29"/>
        <v>0</v>
      </c>
      <c r="BQ31" s="205"/>
      <c r="BR31" s="205"/>
      <c r="BS31" s="205"/>
      <c r="BT31" s="205"/>
      <c r="BU31" s="205"/>
      <c r="BV31" s="205"/>
      <c r="BW31" s="205"/>
      <c r="BX31" s="205"/>
      <c r="BY31" s="238"/>
      <c r="BZ31" s="205"/>
      <c r="CA31" s="9"/>
      <c r="CB31" s="19"/>
      <c r="CC31" s="20"/>
      <c r="CD31" s="182"/>
      <c r="CE31" s="183"/>
      <c r="CF31" s="5"/>
      <c r="CH31" s="1"/>
      <c r="CI31" s="259"/>
      <c r="CJ31" s="9"/>
      <c r="CK31" s="1"/>
      <c r="CL31" s="259"/>
      <c r="CM31" s="259"/>
      <c r="CN31" s="259">
        <f>CO31+CP31+CQ31+CR31</f>
        <v>0</v>
      </c>
      <c r="CO31" s="259"/>
      <c r="CP31" s="259"/>
      <c r="CQ31" s="259"/>
      <c r="CR31" s="259"/>
      <c r="CS31" s="259"/>
      <c r="CT31" s="259"/>
      <c r="CU31" s="259"/>
      <c r="CV31" s="259"/>
      <c r="CW31" s="259"/>
      <c r="CX31" s="259"/>
      <c r="CY31" s="259"/>
      <c r="CZ31" s="259"/>
      <c r="DA31" s="259"/>
      <c r="DB31" s="298"/>
      <c r="DC31" s="259"/>
      <c r="DD31" s="9"/>
      <c r="DE31" s="19"/>
      <c r="DF31" s="20"/>
      <c r="DG31" s="20"/>
      <c r="DH31" s="21"/>
      <c r="DI31" s="258"/>
      <c r="DK31" s="1"/>
      <c r="DL31" s="358"/>
      <c r="DM31" s="9"/>
      <c r="DN31" s="1"/>
      <c r="DO31" s="358"/>
      <c r="DP31" s="358"/>
      <c r="DQ31" s="358"/>
      <c r="DR31" s="358"/>
      <c r="DS31" s="358"/>
      <c r="DT31" s="358"/>
      <c r="DU31" s="358"/>
      <c r="DV31" s="358"/>
      <c r="DW31" s="358"/>
      <c r="DX31" s="358"/>
      <c r="DY31" s="358"/>
      <c r="DZ31" s="358"/>
      <c r="EA31" s="358"/>
      <c r="EB31" s="358"/>
      <c r="EC31" s="358"/>
      <c r="ED31" s="358"/>
      <c r="EE31" s="358"/>
      <c r="EF31" s="358"/>
      <c r="EG31" s="9"/>
      <c r="EH31" s="19"/>
      <c r="EI31" s="20"/>
      <c r="EJ31" s="20"/>
      <c r="EK31" s="21"/>
      <c r="EL31" s="290"/>
    </row>
    <row r="32" spans="1:142" s="268" customFormat="1" x14ac:dyDescent="0.3">
      <c r="A32" s="5"/>
      <c r="B32" s="1"/>
      <c r="C32" s="9"/>
      <c r="D32" s="269"/>
      <c r="E32" s="269"/>
      <c r="F32" s="269"/>
      <c r="G32" s="269"/>
      <c r="H32" s="18"/>
      <c r="I32" s="269"/>
      <c r="J32" s="269"/>
      <c r="K32" s="269"/>
      <c r="L32" s="269"/>
      <c r="M32" s="269"/>
      <c r="N32" s="269"/>
      <c r="O32" s="269"/>
      <c r="P32" s="269"/>
      <c r="Q32" s="269"/>
      <c r="R32" s="269"/>
      <c r="S32" s="269"/>
      <c r="V32" s="269"/>
      <c r="W32" s="269"/>
      <c r="X32" s="19"/>
      <c r="Y32" s="20"/>
      <c r="Z32" s="20"/>
      <c r="AA32" s="21"/>
      <c r="AB32" s="5"/>
      <c r="AD32" s="1"/>
      <c r="AE32" s="45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121"/>
      <c r="AU32" s="46"/>
      <c r="AV32" s="39"/>
      <c r="AW32" s="46"/>
      <c r="AX32" s="47"/>
      <c r="AY32" s="1"/>
      <c r="AZ32" s="269"/>
      <c r="BA32" s="269"/>
      <c r="BB32" s="269"/>
      <c r="BC32" s="5"/>
      <c r="BE32" s="5"/>
      <c r="BF32" s="269"/>
      <c r="BG32" s="9"/>
      <c r="BH32" s="1"/>
      <c r="BI32" s="269"/>
      <c r="BJ32" s="269"/>
      <c r="BK32" s="242"/>
      <c r="BL32" s="269"/>
      <c r="BM32" s="269"/>
      <c r="BN32" s="269"/>
      <c r="BO32" s="269"/>
      <c r="BP32" s="242"/>
      <c r="BQ32" s="269"/>
      <c r="BR32" s="269"/>
      <c r="BS32" s="269"/>
      <c r="BT32" s="269"/>
      <c r="BU32" s="269"/>
      <c r="BV32" s="269"/>
      <c r="BW32" s="269"/>
      <c r="BX32" s="269"/>
      <c r="BY32" s="238"/>
      <c r="BZ32" s="269"/>
      <c r="CA32" s="9"/>
      <c r="CB32" s="19"/>
      <c r="CC32" s="20"/>
      <c r="CD32" s="182"/>
      <c r="CE32" s="183"/>
      <c r="CF32" s="5"/>
      <c r="CH32" s="1" t="s">
        <v>374</v>
      </c>
      <c r="CI32" s="269" t="s">
        <v>375</v>
      </c>
      <c r="CJ32" s="9">
        <v>19</v>
      </c>
      <c r="CK32" s="1">
        <v>2</v>
      </c>
      <c r="CL32" s="269">
        <v>5</v>
      </c>
      <c r="CM32" s="269">
        <v>5</v>
      </c>
      <c r="CN32" s="269">
        <f>CO32+CP32+CQ32+CR32</f>
        <v>0</v>
      </c>
      <c r="CO32" s="269">
        <v>0</v>
      </c>
      <c r="CP32" s="269">
        <v>0</v>
      </c>
      <c r="CQ32" s="269">
        <v>0</v>
      </c>
      <c r="CR32" s="269">
        <v>0</v>
      </c>
      <c r="CS32" s="269">
        <f>CO32*1+CP32*2+CQ32*3+CR32*4</f>
        <v>0</v>
      </c>
      <c r="CT32" s="269">
        <v>1</v>
      </c>
      <c r="CU32" s="269">
        <v>0</v>
      </c>
      <c r="CV32" s="269">
        <v>0</v>
      </c>
      <c r="CW32" s="269">
        <v>0</v>
      </c>
      <c r="CX32" s="269">
        <v>0</v>
      </c>
      <c r="CY32" s="269">
        <v>0</v>
      </c>
      <c r="CZ32" s="269">
        <v>0</v>
      </c>
      <c r="DA32" s="269">
        <v>0</v>
      </c>
      <c r="DB32" s="298">
        <f t="shared" si="30"/>
        <v>0</v>
      </c>
      <c r="DC32" s="269">
        <v>4</v>
      </c>
      <c r="DD32" s="9">
        <v>0</v>
      </c>
      <c r="DE32" s="19">
        <f t="shared" ref="DE32:DE35" si="45">CN32/CM32</f>
        <v>0</v>
      </c>
      <c r="DF32" s="20">
        <f t="shared" ref="DF32:DF35" si="46">(CN32+CZ32+DA32)/(CM32+CZ32+DA32+CY32+CX32)</f>
        <v>0</v>
      </c>
      <c r="DG32" s="20">
        <f t="shared" ref="DG32:DG35" si="47">((CO32*1)+(CP32*2)+(CQ32*3)+(CR32*4))/CM32</f>
        <v>0</v>
      </c>
      <c r="DH32" s="21">
        <f t="shared" ref="DH32:DH35" si="48">DF32+DG32</f>
        <v>0</v>
      </c>
      <c r="DI32" s="268" t="s">
        <v>376</v>
      </c>
      <c r="DK32" s="1"/>
      <c r="DL32" s="358"/>
      <c r="DM32" s="9"/>
      <c r="DN32" s="1"/>
      <c r="DO32" s="358"/>
      <c r="DP32" s="358"/>
      <c r="DQ32" s="358"/>
      <c r="DR32" s="358"/>
      <c r="DS32" s="358"/>
      <c r="DT32" s="358"/>
      <c r="DU32" s="358"/>
      <c r="DV32" s="358"/>
      <c r="DW32" s="358"/>
      <c r="DX32" s="358"/>
      <c r="DY32" s="358"/>
      <c r="DZ32" s="358"/>
      <c r="EA32" s="358"/>
      <c r="EB32" s="358"/>
      <c r="EC32" s="358"/>
      <c r="ED32" s="358"/>
      <c r="EE32" s="358"/>
      <c r="EF32" s="358"/>
      <c r="EG32" s="9"/>
      <c r="EH32" s="19"/>
      <c r="EI32" s="20"/>
      <c r="EJ32" s="20"/>
      <c r="EK32" s="21"/>
      <c r="EL32" s="290"/>
    </row>
    <row r="33" spans="1:219" x14ac:dyDescent="0.3">
      <c r="A33" s="5" t="s">
        <v>5</v>
      </c>
      <c r="B33" s="1">
        <v>3</v>
      </c>
      <c r="C33" s="9" t="s">
        <v>6</v>
      </c>
      <c r="D33" s="11">
        <v>9</v>
      </c>
      <c r="E33" s="11">
        <v>22</v>
      </c>
      <c r="F33" s="11">
        <v>19</v>
      </c>
      <c r="G33" s="11">
        <v>4</v>
      </c>
      <c r="H33" s="18">
        <v>4</v>
      </c>
      <c r="I33" s="11">
        <v>0</v>
      </c>
      <c r="J33" s="11">
        <v>0</v>
      </c>
      <c r="K33" s="11">
        <v>0</v>
      </c>
      <c r="L33" s="11">
        <v>4</v>
      </c>
      <c r="M33" s="11">
        <v>7</v>
      </c>
      <c r="N33" s="11">
        <v>5</v>
      </c>
      <c r="O33" s="11">
        <v>2</v>
      </c>
      <c r="P33" s="11">
        <v>1</v>
      </c>
      <c r="Q33" s="11">
        <v>0</v>
      </c>
      <c r="R33" s="11">
        <v>0</v>
      </c>
      <c r="S33" s="11">
        <v>1</v>
      </c>
      <c r="T33" s="4">
        <v>2</v>
      </c>
      <c r="U33" s="215">
        <f t="shared" si="1"/>
        <v>3</v>
      </c>
      <c r="V33" s="11">
        <v>3</v>
      </c>
      <c r="W33" s="11">
        <v>1</v>
      </c>
      <c r="X33" s="19">
        <v>0.21052631578947367</v>
      </c>
      <c r="Y33" s="20">
        <v>0.31818181818181818</v>
      </c>
      <c r="Z33" s="20">
        <v>0.21052631578947367</v>
      </c>
      <c r="AA33" s="21">
        <v>0.52870813397129179</v>
      </c>
      <c r="AB33" s="5" t="s">
        <v>5</v>
      </c>
      <c r="AD33" s="1"/>
      <c r="AE33" s="45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39"/>
      <c r="AW33" s="46"/>
      <c r="AX33" s="47"/>
      <c r="AY33" s="1"/>
      <c r="AZ33" s="108"/>
      <c r="BA33" s="108"/>
      <c r="BB33" s="108"/>
      <c r="BC33" s="5"/>
      <c r="BE33" s="5"/>
      <c r="BF33" s="173"/>
      <c r="BG33" s="9"/>
      <c r="BH33" s="1"/>
      <c r="BI33" s="205"/>
      <c r="BJ33" s="205"/>
      <c r="BK33" s="242">
        <f t="shared" si="28"/>
        <v>0</v>
      </c>
      <c r="BL33" s="205"/>
      <c r="BM33" s="205"/>
      <c r="BN33" s="205"/>
      <c r="BO33" s="205"/>
      <c r="BP33" s="242">
        <f t="shared" si="29"/>
        <v>0</v>
      </c>
      <c r="BQ33" s="205"/>
      <c r="BR33" s="205"/>
      <c r="BS33" s="205"/>
      <c r="BT33" s="205"/>
      <c r="BU33" s="205"/>
      <c r="BV33" s="205"/>
      <c r="BW33" s="205"/>
      <c r="BX33" s="205"/>
      <c r="BY33" s="238"/>
      <c r="BZ33" s="205"/>
      <c r="CA33" s="9"/>
      <c r="CB33" s="19"/>
      <c r="CC33" s="20"/>
      <c r="CD33" s="182"/>
      <c r="CE33" s="183"/>
      <c r="CF33" s="5"/>
      <c r="CH33" s="1"/>
      <c r="CI33" s="259"/>
      <c r="CJ33" s="9"/>
      <c r="CK33" s="1"/>
      <c r="CL33" s="259"/>
      <c r="CM33" s="259"/>
      <c r="CN33" s="298"/>
      <c r="CO33" s="259"/>
      <c r="CP33" s="259"/>
      <c r="CQ33" s="259"/>
      <c r="CR33" s="259"/>
      <c r="CS33" s="298"/>
      <c r="CT33" s="259"/>
      <c r="CU33" s="259"/>
      <c r="CV33" s="259"/>
      <c r="CW33" s="259"/>
      <c r="CX33" s="259"/>
      <c r="CY33" s="259"/>
      <c r="CZ33" s="259"/>
      <c r="DA33" s="259"/>
      <c r="DB33" s="298"/>
      <c r="DC33" s="259"/>
      <c r="DD33" s="9"/>
      <c r="DE33" s="19"/>
      <c r="DF33" s="20"/>
      <c r="DG33" s="20"/>
      <c r="DH33" s="21"/>
      <c r="DI33" s="258"/>
      <c r="DK33" s="1"/>
      <c r="DL33" s="358"/>
      <c r="DM33" s="9"/>
      <c r="DN33" s="1"/>
      <c r="DO33" s="358"/>
      <c r="DP33" s="358"/>
      <c r="DQ33" s="358"/>
      <c r="DR33" s="358"/>
      <c r="DS33" s="358"/>
      <c r="DT33" s="358"/>
      <c r="DU33" s="358"/>
      <c r="DV33" s="358"/>
      <c r="DW33" s="358"/>
      <c r="DX33" s="358"/>
      <c r="DY33" s="358"/>
      <c r="DZ33" s="358"/>
      <c r="EA33" s="358"/>
      <c r="EB33" s="358"/>
      <c r="EC33" s="358"/>
      <c r="ED33" s="358"/>
      <c r="EE33" s="358"/>
      <c r="EF33" s="358"/>
      <c r="EG33" s="9"/>
      <c r="EH33" s="19"/>
      <c r="EI33" s="20"/>
      <c r="EJ33" s="20"/>
      <c r="EK33" s="21"/>
      <c r="EL33" s="290"/>
    </row>
    <row r="34" spans="1:219" x14ac:dyDescent="0.3">
      <c r="A34" s="5" t="s">
        <v>72</v>
      </c>
      <c r="B34" s="1">
        <v>33</v>
      </c>
      <c r="C34" s="9" t="s">
        <v>7</v>
      </c>
      <c r="D34" s="11">
        <v>16</v>
      </c>
      <c r="E34" s="11">
        <v>39</v>
      </c>
      <c r="F34" s="11">
        <v>28</v>
      </c>
      <c r="G34" s="11">
        <v>4</v>
      </c>
      <c r="H34" s="18">
        <v>4</v>
      </c>
      <c r="I34" s="11">
        <v>0</v>
      </c>
      <c r="J34" s="11">
        <v>0</v>
      </c>
      <c r="K34" s="11">
        <v>0</v>
      </c>
      <c r="L34" s="11">
        <v>4</v>
      </c>
      <c r="M34" s="11">
        <v>3</v>
      </c>
      <c r="N34" s="11">
        <v>7</v>
      </c>
      <c r="O34" s="11">
        <v>4</v>
      </c>
      <c r="P34" s="11">
        <v>0</v>
      </c>
      <c r="Q34" s="11">
        <v>0</v>
      </c>
      <c r="R34" s="11">
        <v>0</v>
      </c>
      <c r="S34" s="11">
        <v>6</v>
      </c>
      <c r="T34" s="4">
        <v>6</v>
      </c>
      <c r="U34" s="215">
        <f t="shared" si="1"/>
        <v>12</v>
      </c>
      <c r="V34" s="11">
        <v>17</v>
      </c>
      <c r="W34" s="11">
        <v>0</v>
      </c>
      <c r="X34" s="19">
        <v>0.14285714285714285</v>
      </c>
      <c r="Y34" s="20">
        <v>0.4</v>
      </c>
      <c r="Z34" s="20">
        <v>0.14285714285714285</v>
      </c>
      <c r="AA34" s="21">
        <v>0.54285714285714293</v>
      </c>
      <c r="AB34" s="5" t="s">
        <v>72</v>
      </c>
      <c r="AD34" s="98" t="s">
        <v>72</v>
      </c>
      <c r="AE34" s="33">
        <v>15</v>
      </c>
      <c r="AF34" s="39">
        <v>49</v>
      </c>
      <c r="AG34" s="39">
        <v>38</v>
      </c>
      <c r="AH34" s="39">
        <v>6</v>
      </c>
      <c r="AI34" s="40">
        <v>6</v>
      </c>
      <c r="AJ34" s="40">
        <v>0</v>
      </c>
      <c r="AK34" s="40">
        <v>0</v>
      </c>
      <c r="AL34" s="39">
        <v>0</v>
      </c>
      <c r="AM34" s="40">
        <v>6</v>
      </c>
      <c r="AN34" s="40">
        <v>4</v>
      </c>
      <c r="AO34" s="40">
        <v>10</v>
      </c>
      <c r="AP34" s="40">
        <v>10</v>
      </c>
      <c r="AQ34" s="39">
        <v>1</v>
      </c>
      <c r="AR34" s="39">
        <v>0</v>
      </c>
      <c r="AS34" s="39">
        <v>0</v>
      </c>
      <c r="AT34" s="138">
        <v>10</v>
      </c>
      <c r="AU34" s="39">
        <v>4</v>
      </c>
      <c r="AV34" s="39">
        <f t="shared" si="2"/>
        <v>14</v>
      </c>
      <c r="AW34" s="39">
        <v>13</v>
      </c>
      <c r="AX34" s="32">
        <v>0</v>
      </c>
      <c r="AY34" s="19">
        <v>0.16666666666666666</v>
      </c>
      <c r="AZ34" s="20">
        <v>0.4</v>
      </c>
      <c r="BA34" s="20">
        <v>0.16666666666666666</v>
      </c>
      <c r="BB34" s="20">
        <v>0.56666666666666665</v>
      </c>
      <c r="BC34" s="5" t="s">
        <v>72</v>
      </c>
      <c r="BE34" s="5" t="s">
        <v>293</v>
      </c>
      <c r="BF34" s="173" t="s">
        <v>294</v>
      </c>
      <c r="BG34" s="9">
        <v>33</v>
      </c>
      <c r="BH34" s="1">
        <v>1</v>
      </c>
      <c r="BI34" s="205">
        <v>4</v>
      </c>
      <c r="BJ34" s="205">
        <v>2</v>
      </c>
      <c r="BK34" s="242">
        <f t="shared" si="28"/>
        <v>0</v>
      </c>
      <c r="BL34" s="205">
        <v>0</v>
      </c>
      <c r="BM34" s="205">
        <v>0</v>
      </c>
      <c r="BN34" s="205">
        <v>0</v>
      </c>
      <c r="BO34" s="205">
        <v>0</v>
      </c>
      <c r="BP34" s="242">
        <f t="shared" si="29"/>
        <v>0</v>
      </c>
      <c r="BQ34" s="205">
        <v>0</v>
      </c>
      <c r="BR34" s="205">
        <v>0</v>
      </c>
      <c r="BS34" s="205">
        <v>0</v>
      </c>
      <c r="BT34" s="205">
        <v>0</v>
      </c>
      <c r="BU34" s="205">
        <v>0</v>
      </c>
      <c r="BV34" s="205">
        <v>0</v>
      </c>
      <c r="BW34" s="205">
        <v>2</v>
      </c>
      <c r="BX34" s="205">
        <v>0</v>
      </c>
      <c r="BY34" s="238">
        <f t="shared" si="0"/>
        <v>2</v>
      </c>
      <c r="BZ34" s="205">
        <v>0</v>
      </c>
      <c r="CA34" s="9">
        <v>0</v>
      </c>
      <c r="CB34" s="19">
        <f>BK34/BJ34</f>
        <v>0</v>
      </c>
      <c r="CC34" s="20">
        <f>(BK34+BW34+BX34)/(BJ34+BW34+BX34+BV34+BU34)</f>
        <v>0.5</v>
      </c>
      <c r="CD34" s="20">
        <f>((BL34*1)+(BM34*2)+(BN34*3)+(BO34*4))/BJ34</f>
        <v>0</v>
      </c>
      <c r="CE34" s="21">
        <f>CC34+CD34</f>
        <v>0.5</v>
      </c>
      <c r="CF34" s="5" t="s">
        <v>72</v>
      </c>
      <c r="CH34" s="1"/>
      <c r="CI34" s="259"/>
      <c r="CJ34" s="9"/>
      <c r="CK34" s="1"/>
      <c r="CL34" s="259"/>
      <c r="CM34" s="259"/>
      <c r="CN34" s="298"/>
      <c r="CO34" s="259"/>
      <c r="CP34" s="259"/>
      <c r="CQ34" s="259"/>
      <c r="CR34" s="259"/>
      <c r="CS34" s="298"/>
      <c r="CT34" s="259"/>
      <c r="CU34" s="259"/>
      <c r="CV34" s="259"/>
      <c r="CW34" s="259"/>
      <c r="CX34" s="259"/>
      <c r="CY34" s="259"/>
      <c r="CZ34" s="259"/>
      <c r="DA34" s="259"/>
      <c r="DB34" s="298"/>
      <c r="DC34" s="259"/>
      <c r="DD34" s="9"/>
      <c r="DE34" s="19"/>
      <c r="DF34" s="20"/>
      <c r="DG34" s="20"/>
      <c r="DH34" s="21"/>
      <c r="DI34" s="258"/>
      <c r="DK34" s="1"/>
      <c r="DL34" s="358"/>
      <c r="DM34" s="9"/>
      <c r="DN34" s="1"/>
      <c r="DO34" s="358"/>
      <c r="DP34" s="358"/>
      <c r="DQ34" s="358"/>
      <c r="DR34" s="358"/>
      <c r="DS34" s="358"/>
      <c r="DT34" s="358"/>
      <c r="DU34" s="358"/>
      <c r="DV34" s="358"/>
      <c r="DW34" s="358"/>
      <c r="DX34" s="358"/>
      <c r="DY34" s="358"/>
      <c r="DZ34" s="358"/>
      <c r="EA34" s="358"/>
      <c r="EB34" s="358"/>
      <c r="EC34" s="358"/>
      <c r="ED34" s="358"/>
      <c r="EE34" s="358"/>
      <c r="EF34" s="358"/>
      <c r="EG34" s="9"/>
      <c r="EH34" s="19"/>
      <c r="EI34" s="20"/>
      <c r="EJ34" s="20"/>
      <c r="EK34" s="21"/>
      <c r="EL34" s="290"/>
    </row>
    <row r="35" spans="1:219" s="290" customFormat="1" x14ac:dyDescent="0.3">
      <c r="A35" s="5"/>
      <c r="B35" s="1"/>
      <c r="C35" s="9"/>
      <c r="D35" s="298"/>
      <c r="E35" s="298"/>
      <c r="F35" s="298"/>
      <c r="G35" s="298"/>
      <c r="H35" s="18"/>
      <c r="I35" s="298"/>
      <c r="J35" s="298"/>
      <c r="K35" s="298"/>
      <c r="L35" s="298"/>
      <c r="M35" s="298"/>
      <c r="N35" s="298"/>
      <c r="O35" s="298"/>
      <c r="P35" s="298"/>
      <c r="Q35" s="298"/>
      <c r="R35" s="298"/>
      <c r="S35" s="298"/>
      <c r="V35" s="298"/>
      <c r="W35" s="298"/>
      <c r="X35" s="19"/>
      <c r="Y35" s="20"/>
      <c r="Z35" s="20"/>
      <c r="AA35" s="21"/>
      <c r="AB35" s="5"/>
      <c r="AD35" s="98"/>
      <c r="AE35" s="141"/>
      <c r="AF35" s="142"/>
      <c r="AG35" s="142"/>
      <c r="AH35" s="142"/>
      <c r="AI35" s="143"/>
      <c r="AJ35" s="143"/>
      <c r="AK35" s="143"/>
      <c r="AL35" s="142"/>
      <c r="AM35" s="143"/>
      <c r="AN35" s="143"/>
      <c r="AO35" s="143"/>
      <c r="AP35" s="143"/>
      <c r="AQ35" s="142"/>
      <c r="AR35" s="142"/>
      <c r="AS35" s="142"/>
      <c r="AT35" s="144"/>
      <c r="AU35" s="142"/>
      <c r="AV35" s="142"/>
      <c r="AW35" s="142"/>
      <c r="AX35" s="146"/>
      <c r="AY35" s="19"/>
      <c r="AZ35" s="20"/>
      <c r="BA35" s="20"/>
      <c r="BB35" s="20"/>
      <c r="BC35" s="5"/>
      <c r="BE35" s="5"/>
      <c r="BF35" s="298"/>
      <c r="BG35" s="9"/>
      <c r="BH35" s="1"/>
      <c r="BI35" s="298"/>
      <c r="BJ35" s="298"/>
      <c r="BK35" s="242"/>
      <c r="BL35" s="298"/>
      <c r="BM35" s="298"/>
      <c r="BN35" s="298"/>
      <c r="BO35" s="298"/>
      <c r="BP35" s="242"/>
      <c r="BQ35" s="298"/>
      <c r="BR35" s="298"/>
      <c r="BS35" s="298"/>
      <c r="BT35" s="298"/>
      <c r="BU35" s="298"/>
      <c r="BV35" s="298"/>
      <c r="BW35" s="298"/>
      <c r="BX35" s="298"/>
      <c r="BY35" s="238"/>
      <c r="BZ35" s="298"/>
      <c r="CA35" s="9"/>
      <c r="CB35" s="19"/>
      <c r="CC35" s="20"/>
      <c r="CD35" s="20"/>
      <c r="CE35" s="21"/>
      <c r="CF35" s="5"/>
      <c r="CH35" s="1" t="s">
        <v>499</v>
      </c>
      <c r="CI35" s="298" t="s">
        <v>500</v>
      </c>
      <c r="CJ35" s="9">
        <v>54</v>
      </c>
      <c r="CK35" s="1">
        <v>3</v>
      </c>
      <c r="CL35" s="298">
        <v>9</v>
      </c>
      <c r="CM35" s="298">
        <v>3</v>
      </c>
      <c r="CN35" s="298">
        <f t="shared" ref="CN35" si="49">CO35+CP35+CQ35+CR35</f>
        <v>1</v>
      </c>
      <c r="CO35" s="298">
        <v>1</v>
      </c>
      <c r="CP35" s="298">
        <v>0</v>
      </c>
      <c r="CQ35" s="298">
        <v>0</v>
      </c>
      <c r="CR35" s="298">
        <v>0</v>
      </c>
      <c r="CS35" s="298">
        <f t="shared" ref="CS35" si="50">CO35*1+CP35*2+CQ35*3+CR35*4</f>
        <v>1</v>
      </c>
      <c r="CT35" s="298">
        <v>0</v>
      </c>
      <c r="CU35" s="298">
        <v>6</v>
      </c>
      <c r="CV35" s="298">
        <v>0</v>
      </c>
      <c r="CW35" s="298">
        <v>0</v>
      </c>
      <c r="CX35" s="298">
        <v>0</v>
      </c>
      <c r="CY35" s="298">
        <v>0</v>
      </c>
      <c r="CZ35" s="298">
        <v>3</v>
      </c>
      <c r="DA35" s="298">
        <v>3</v>
      </c>
      <c r="DB35" s="298">
        <f t="shared" si="30"/>
        <v>6</v>
      </c>
      <c r="DC35" s="298">
        <v>2</v>
      </c>
      <c r="DD35" s="9">
        <v>0</v>
      </c>
      <c r="DE35" s="19">
        <f t="shared" si="45"/>
        <v>0.33333333333333331</v>
      </c>
      <c r="DF35" s="20">
        <f t="shared" si="46"/>
        <v>0.77777777777777779</v>
      </c>
      <c r="DG35" s="20">
        <f t="shared" si="47"/>
        <v>0.33333333333333331</v>
      </c>
      <c r="DH35" s="21">
        <f t="shared" si="48"/>
        <v>1.1111111111111112</v>
      </c>
      <c r="DI35" s="290" t="s">
        <v>498</v>
      </c>
      <c r="DK35" s="1" t="s">
        <v>498</v>
      </c>
      <c r="DL35" s="358" t="s">
        <v>253</v>
      </c>
      <c r="DM35" s="9">
        <v>54</v>
      </c>
      <c r="DN35" s="1"/>
      <c r="DO35" s="358"/>
      <c r="DP35" s="358"/>
      <c r="DQ35" s="358">
        <f t="shared" ref="DQ35" si="51">DR35+DS35+DT35+DU35</f>
        <v>0</v>
      </c>
      <c r="DR35" s="358"/>
      <c r="DS35" s="358"/>
      <c r="DT35" s="358"/>
      <c r="DU35" s="358"/>
      <c r="DV35" s="358">
        <f t="shared" ref="DV35" si="52">DR35*1+DS35*2+DT35*3+DU35*4</f>
        <v>0</v>
      </c>
      <c r="DW35" s="358"/>
      <c r="DX35" s="358"/>
      <c r="DY35" s="358"/>
      <c r="DZ35" s="358"/>
      <c r="EA35" s="358"/>
      <c r="EB35" s="358"/>
      <c r="EC35" s="358"/>
      <c r="ED35" s="358"/>
      <c r="EE35" s="358">
        <f t="shared" ref="EE35" si="53">EC35+ED35</f>
        <v>0</v>
      </c>
      <c r="EF35" s="358"/>
      <c r="EG35" s="9"/>
      <c r="EH35" s="19" t="e">
        <f t="shared" ref="EH35" si="54">DQ35/DP35</f>
        <v>#DIV/0!</v>
      </c>
      <c r="EI35" s="20" t="e">
        <f t="shared" ref="EI35" si="55">(DQ35+EC35+ED35)/(DP35+EC35+ED35+EB35+EA35)</f>
        <v>#DIV/0!</v>
      </c>
      <c r="EJ35" s="20" t="e">
        <f t="shared" ref="EJ35" si="56">((DR35*1)+(DS35*2)+(DT35*3)+(DU35*4))/DP35</f>
        <v>#DIV/0!</v>
      </c>
      <c r="EK35" s="21" t="e">
        <f t="shared" ref="EK35" si="57">EI35+EJ35</f>
        <v>#DIV/0!</v>
      </c>
      <c r="EL35" s="290" t="s">
        <v>498</v>
      </c>
    </row>
    <row r="36" spans="1:219" s="152" customFormat="1" ht="17.25" thickBot="1" x14ac:dyDescent="0.35">
      <c r="A36" s="5"/>
      <c r="B36" s="1"/>
      <c r="C36" s="9"/>
      <c r="D36" s="153"/>
      <c r="E36" s="153"/>
      <c r="F36" s="153"/>
      <c r="G36" s="153"/>
      <c r="H36" s="18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U36" s="215"/>
      <c r="V36" s="153"/>
      <c r="W36" s="153"/>
      <c r="X36" s="19"/>
      <c r="Y36" s="20"/>
      <c r="Z36" s="20"/>
      <c r="AA36" s="21"/>
      <c r="AB36" s="5"/>
      <c r="AD36" s="98"/>
      <c r="AE36" s="141"/>
      <c r="AF36" s="142"/>
      <c r="AG36" s="142"/>
      <c r="AH36" s="142"/>
      <c r="AI36" s="143"/>
      <c r="AJ36" s="143"/>
      <c r="AK36" s="143"/>
      <c r="AL36" s="142"/>
      <c r="AM36" s="143"/>
      <c r="AN36" s="143"/>
      <c r="AO36" s="143"/>
      <c r="AP36" s="143"/>
      <c r="AQ36" s="142"/>
      <c r="AR36" s="142"/>
      <c r="AS36" s="142"/>
      <c r="AT36" s="144"/>
      <c r="AU36" s="142"/>
      <c r="AV36" s="142"/>
      <c r="AW36" s="142"/>
      <c r="AX36" s="146"/>
      <c r="AY36" s="19"/>
      <c r="AZ36" s="20"/>
      <c r="BA36" s="20"/>
      <c r="BB36" s="20"/>
      <c r="BC36" s="5"/>
      <c r="BE36" s="5" t="s">
        <v>288</v>
      </c>
      <c r="BF36" s="173" t="s">
        <v>289</v>
      </c>
      <c r="BG36" s="9">
        <v>36</v>
      </c>
      <c r="BH36" s="3">
        <v>12</v>
      </c>
      <c r="BI36" s="204">
        <v>41</v>
      </c>
      <c r="BJ36" s="204">
        <v>34</v>
      </c>
      <c r="BK36" s="243">
        <f t="shared" si="28"/>
        <v>15</v>
      </c>
      <c r="BL36" s="204">
        <v>10</v>
      </c>
      <c r="BM36" s="204">
        <v>2</v>
      </c>
      <c r="BN36" s="204">
        <v>3</v>
      </c>
      <c r="BO36" s="204">
        <v>0</v>
      </c>
      <c r="BP36" s="243">
        <f t="shared" si="29"/>
        <v>23</v>
      </c>
      <c r="BQ36" s="204">
        <v>9</v>
      </c>
      <c r="BR36" s="204">
        <v>15</v>
      </c>
      <c r="BS36" s="204">
        <v>4</v>
      </c>
      <c r="BT36" s="204">
        <v>0</v>
      </c>
      <c r="BU36" s="204">
        <v>0</v>
      </c>
      <c r="BV36" s="204">
        <v>0</v>
      </c>
      <c r="BW36" s="204">
        <v>5</v>
      </c>
      <c r="BX36" s="204">
        <v>2</v>
      </c>
      <c r="BY36" s="239">
        <f t="shared" si="0"/>
        <v>7</v>
      </c>
      <c r="BZ36" s="204">
        <v>7</v>
      </c>
      <c r="CA36" s="10">
        <v>0</v>
      </c>
      <c r="CB36" s="19">
        <f>BK36/BJ36</f>
        <v>0.44117647058823528</v>
      </c>
      <c r="CC36" s="20">
        <f>(BK36+BW36+BX36)/(BJ36+BW36+BX36+BV36+BU36)</f>
        <v>0.53658536585365857</v>
      </c>
      <c r="CD36" s="20">
        <f>((BL36*1)+(BM36*2)+(BN36*3)+(BO36*4))/BJ36</f>
        <v>0.67647058823529416</v>
      </c>
      <c r="CE36" s="21">
        <f>CC36+CD36</f>
        <v>1.2130559540889527</v>
      </c>
      <c r="CF36" s="5" t="s">
        <v>288</v>
      </c>
      <c r="CH36" s="1"/>
      <c r="CI36" s="259"/>
      <c r="CJ36" s="9"/>
      <c r="CK36" s="1"/>
      <c r="CL36" s="259"/>
      <c r="CM36" s="259"/>
      <c r="CN36" s="259"/>
      <c r="CO36" s="259"/>
      <c r="CP36" s="259"/>
      <c r="CQ36" s="259"/>
      <c r="CR36" s="259"/>
      <c r="CS36" s="259"/>
      <c r="CT36" s="259"/>
      <c r="CU36" s="259"/>
      <c r="CV36" s="259"/>
      <c r="CW36" s="259"/>
      <c r="CX36" s="259"/>
      <c r="CY36" s="259"/>
      <c r="CZ36" s="259"/>
      <c r="DA36" s="259"/>
      <c r="DB36" s="259"/>
      <c r="DC36" s="259"/>
      <c r="DD36" s="9"/>
      <c r="DE36" s="19"/>
      <c r="DF36" s="20"/>
      <c r="DG36" s="20"/>
      <c r="DH36" s="21"/>
      <c r="DI36" s="258"/>
      <c r="DK36" s="1"/>
      <c r="DL36" s="358"/>
      <c r="DM36" s="9"/>
      <c r="DN36" s="1"/>
      <c r="DO36" s="358"/>
      <c r="DP36" s="358"/>
      <c r="DQ36" s="358"/>
      <c r="DR36" s="358"/>
      <c r="DS36" s="358"/>
      <c r="DT36" s="358"/>
      <c r="DU36" s="358"/>
      <c r="DV36" s="358"/>
      <c r="DW36" s="358"/>
      <c r="DX36" s="358"/>
      <c r="DY36" s="358"/>
      <c r="DZ36" s="358"/>
      <c r="EA36" s="358"/>
      <c r="EB36" s="358"/>
      <c r="EC36" s="358"/>
      <c r="ED36" s="358"/>
      <c r="EE36" s="358"/>
      <c r="EF36" s="358"/>
      <c r="EG36" s="9"/>
      <c r="EH36" s="19"/>
      <c r="EI36" s="20"/>
      <c r="EJ36" s="20"/>
      <c r="EK36" s="21"/>
      <c r="EL36" s="290"/>
    </row>
    <row r="37" spans="1:219" s="152" customFormat="1" x14ac:dyDescent="0.3">
      <c r="A37" s="5"/>
      <c r="B37" s="1"/>
      <c r="C37" s="9"/>
      <c r="D37" s="153"/>
      <c r="E37" s="153"/>
      <c r="F37" s="153"/>
      <c r="G37" s="153"/>
      <c r="H37" s="18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U37" s="215"/>
      <c r="V37" s="153"/>
      <c r="W37" s="153"/>
      <c r="X37" s="19"/>
      <c r="Y37" s="20"/>
      <c r="Z37" s="20"/>
      <c r="AA37" s="21"/>
      <c r="AB37" s="5"/>
      <c r="AD37" s="98"/>
      <c r="AE37" s="141"/>
      <c r="AF37" s="142"/>
      <c r="AG37" s="142"/>
      <c r="AH37" s="142"/>
      <c r="AI37" s="143"/>
      <c r="AJ37" s="143"/>
      <c r="AK37" s="143"/>
      <c r="AL37" s="142"/>
      <c r="AM37" s="143"/>
      <c r="AN37" s="143"/>
      <c r="AO37" s="143"/>
      <c r="AP37" s="143"/>
      <c r="AQ37" s="142"/>
      <c r="AR37" s="142"/>
      <c r="AS37" s="142"/>
      <c r="AT37" s="144"/>
      <c r="AU37" s="142"/>
      <c r="AV37" s="142"/>
      <c r="AW37" s="142"/>
      <c r="AX37" s="146"/>
      <c r="AY37" s="19"/>
      <c r="AZ37" s="20"/>
      <c r="BA37" s="20"/>
      <c r="BB37" s="20"/>
      <c r="BC37" s="5"/>
      <c r="BE37" s="158" t="s">
        <v>306</v>
      </c>
      <c r="BF37" s="159"/>
      <c r="BG37" s="160"/>
      <c r="BH37" s="224">
        <v>2</v>
      </c>
      <c r="BI37" s="217">
        <v>6</v>
      </c>
      <c r="BJ37" s="217">
        <v>4</v>
      </c>
      <c r="BK37" s="218">
        <f t="shared" si="28"/>
        <v>2</v>
      </c>
      <c r="BL37" s="217">
        <v>1</v>
      </c>
      <c r="BM37" s="217">
        <v>1</v>
      </c>
      <c r="BN37" s="217">
        <v>0</v>
      </c>
      <c r="BO37" s="217">
        <v>0</v>
      </c>
      <c r="BP37" s="218">
        <f t="shared" si="29"/>
        <v>3</v>
      </c>
      <c r="BQ37" s="217">
        <v>1</v>
      </c>
      <c r="BR37" s="217">
        <v>1</v>
      </c>
      <c r="BS37" s="217">
        <v>1</v>
      </c>
      <c r="BT37" s="217">
        <v>0</v>
      </c>
      <c r="BU37" s="217">
        <v>0</v>
      </c>
      <c r="BV37" s="217">
        <v>0</v>
      </c>
      <c r="BW37" s="217">
        <v>1</v>
      </c>
      <c r="BX37" s="217">
        <v>1</v>
      </c>
      <c r="BY37" s="217">
        <f t="shared" si="0"/>
        <v>2</v>
      </c>
      <c r="BZ37" s="217">
        <v>1</v>
      </c>
      <c r="CA37" s="225">
        <v>0</v>
      </c>
      <c r="CB37" s="161">
        <f>BK37/BJ37</f>
        <v>0.5</v>
      </c>
      <c r="CC37" s="162">
        <f>(BK37+BW37+BX37)/(BJ37+BW37+BX37+BV37+BU37)</f>
        <v>0.66666666666666663</v>
      </c>
      <c r="CD37" s="162">
        <f>((BL37*1)+(BM37*2)+(BN37*3)+(BO37*4))/BJ37</f>
        <v>0.75</v>
      </c>
      <c r="CE37" s="163">
        <f>CC37+CD37</f>
        <v>1.4166666666666665</v>
      </c>
      <c r="CF37" s="158" t="s">
        <v>306</v>
      </c>
      <c r="CH37" s="1"/>
      <c r="CI37" s="259"/>
      <c r="CJ37" s="9"/>
      <c r="CK37" s="1"/>
      <c r="CL37" s="259"/>
      <c r="CM37" s="259"/>
      <c r="CN37" s="259"/>
      <c r="CO37" s="259"/>
      <c r="CP37" s="259"/>
      <c r="CQ37" s="259"/>
      <c r="CR37" s="259"/>
      <c r="CS37" s="259"/>
      <c r="CT37" s="259"/>
      <c r="CU37" s="259"/>
      <c r="CV37" s="259"/>
      <c r="CW37" s="259"/>
      <c r="CX37" s="259"/>
      <c r="CY37" s="259"/>
      <c r="CZ37" s="259"/>
      <c r="DA37" s="259"/>
      <c r="DB37" s="259"/>
      <c r="DC37" s="259"/>
      <c r="DD37" s="9"/>
      <c r="DE37" s="19"/>
      <c r="DF37" s="20"/>
      <c r="DG37" s="20"/>
      <c r="DH37" s="21"/>
      <c r="DI37" s="258"/>
      <c r="DK37" s="1"/>
      <c r="DL37" s="358"/>
      <c r="DM37" s="9"/>
      <c r="DN37" s="1"/>
      <c r="DO37" s="358"/>
      <c r="DP37" s="358"/>
      <c r="DQ37" s="358"/>
      <c r="DR37" s="358"/>
      <c r="DS37" s="358"/>
      <c r="DT37" s="358"/>
      <c r="DU37" s="358"/>
      <c r="DV37" s="358"/>
      <c r="DW37" s="358"/>
      <c r="DX37" s="358"/>
      <c r="DY37" s="358"/>
      <c r="DZ37" s="358"/>
      <c r="EA37" s="358"/>
      <c r="EB37" s="358"/>
      <c r="EC37" s="358"/>
      <c r="ED37" s="358"/>
      <c r="EE37" s="358"/>
      <c r="EF37" s="358"/>
      <c r="EG37" s="9"/>
      <c r="EH37" s="19"/>
      <c r="EI37" s="20"/>
      <c r="EJ37" s="20"/>
      <c r="EK37" s="21"/>
      <c r="EL37" s="290"/>
    </row>
    <row r="38" spans="1:219" s="104" customFormat="1" ht="17.25" thickBot="1" x14ac:dyDescent="0.35">
      <c r="A38" s="7"/>
      <c r="B38" s="3"/>
      <c r="C38" s="10"/>
      <c r="D38" s="108"/>
      <c r="E38" s="108"/>
      <c r="F38" s="108"/>
      <c r="G38" s="108"/>
      <c r="H38" s="1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U38" s="215"/>
      <c r="V38" s="108"/>
      <c r="W38" s="108"/>
      <c r="X38" s="53"/>
      <c r="Y38" s="54"/>
      <c r="Z38" s="54"/>
      <c r="AA38" s="55"/>
      <c r="AB38" s="7"/>
      <c r="AD38" s="3"/>
      <c r="AE38" s="141"/>
      <c r="AF38" s="142"/>
      <c r="AG38" s="142"/>
      <c r="AH38" s="142"/>
      <c r="AI38" s="143"/>
      <c r="AJ38" s="143"/>
      <c r="AK38" s="143"/>
      <c r="AL38" s="142"/>
      <c r="AM38" s="143"/>
      <c r="AN38" s="143"/>
      <c r="AO38" s="143"/>
      <c r="AP38" s="143"/>
      <c r="AQ38" s="142"/>
      <c r="AR38" s="142"/>
      <c r="AS38" s="142"/>
      <c r="AT38" s="144"/>
      <c r="AU38" s="142"/>
      <c r="AV38" s="142"/>
      <c r="AW38" s="142"/>
      <c r="AX38" s="146"/>
      <c r="AY38" s="19"/>
      <c r="AZ38" s="20"/>
      <c r="BA38" s="20"/>
      <c r="BB38" s="20"/>
      <c r="BC38" s="7"/>
      <c r="BE38" s="166" t="s">
        <v>307</v>
      </c>
      <c r="BF38" s="164"/>
      <c r="BG38" s="165"/>
      <c r="BH38" s="224">
        <v>1</v>
      </c>
      <c r="BI38" s="217">
        <v>3</v>
      </c>
      <c r="BJ38" s="217">
        <v>3</v>
      </c>
      <c r="BK38" s="218">
        <f t="shared" si="28"/>
        <v>0</v>
      </c>
      <c r="BL38" s="217">
        <v>0</v>
      </c>
      <c r="BM38" s="217">
        <v>0</v>
      </c>
      <c r="BN38" s="217">
        <v>0</v>
      </c>
      <c r="BO38" s="217">
        <v>0</v>
      </c>
      <c r="BP38" s="218">
        <f t="shared" si="29"/>
        <v>0</v>
      </c>
      <c r="BQ38" s="217">
        <v>0</v>
      </c>
      <c r="BR38" s="217">
        <v>0</v>
      </c>
      <c r="BS38" s="217">
        <v>0</v>
      </c>
      <c r="BT38" s="217">
        <v>0</v>
      </c>
      <c r="BU38" s="217">
        <v>0</v>
      </c>
      <c r="BV38" s="217">
        <v>0</v>
      </c>
      <c r="BW38" s="217">
        <v>0</v>
      </c>
      <c r="BX38" s="217">
        <v>0</v>
      </c>
      <c r="BY38" s="217">
        <f t="shared" si="0"/>
        <v>0</v>
      </c>
      <c r="BZ38" s="217">
        <v>0</v>
      </c>
      <c r="CA38" s="225">
        <v>0</v>
      </c>
      <c r="CB38" s="169">
        <f>BK38/BJ38</f>
        <v>0</v>
      </c>
      <c r="CC38" s="167">
        <f>(BK38+BW38+BX38)/(BJ38+BW38+BX38+BV38+BU38)</f>
        <v>0</v>
      </c>
      <c r="CD38" s="167">
        <f>((BL38*1)+(BM38*2)+(BN38*3)+(BO38*4))/BJ38</f>
        <v>0</v>
      </c>
      <c r="CE38" s="168">
        <f>CC38+CD38</f>
        <v>0</v>
      </c>
      <c r="CF38" s="166" t="s">
        <v>307</v>
      </c>
      <c r="CH38" s="1"/>
      <c r="CI38" s="259"/>
      <c r="CJ38" s="9"/>
      <c r="CK38" s="3"/>
      <c r="CL38" s="257"/>
      <c r="CM38" s="257"/>
      <c r="CN38" s="257"/>
      <c r="CO38" s="257"/>
      <c r="CP38" s="257"/>
      <c r="CQ38" s="257"/>
      <c r="CR38" s="257"/>
      <c r="CS38" s="257"/>
      <c r="CT38" s="257"/>
      <c r="CU38" s="257"/>
      <c r="CV38" s="257"/>
      <c r="CW38" s="257"/>
      <c r="CX38" s="257"/>
      <c r="CY38" s="257"/>
      <c r="CZ38" s="257"/>
      <c r="DA38" s="257"/>
      <c r="DB38" s="257"/>
      <c r="DC38" s="257"/>
      <c r="DD38" s="10"/>
      <c r="DE38" s="19"/>
      <c r="DF38" s="20"/>
      <c r="DG38" s="20"/>
      <c r="DH38" s="21"/>
      <c r="DI38" s="258"/>
      <c r="DK38" s="1"/>
      <c r="DL38" s="358"/>
      <c r="DM38" s="9"/>
      <c r="DN38" s="3"/>
      <c r="DO38" s="354"/>
      <c r="DP38" s="354"/>
      <c r="DQ38" s="354"/>
      <c r="DR38" s="354"/>
      <c r="DS38" s="354"/>
      <c r="DT38" s="354"/>
      <c r="DU38" s="354"/>
      <c r="DV38" s="354"/>
      <c r="DW38" s="354"/>
      <c r="DX38" s="354"/>
      <c r="DY38" s="354"/>
      <c r="DZ38" s="354"/>
      <c r="EA38" s="354"/>
      <c r="EB38" s="354"/>
      <c r="EC38" s="354"/>
      <c r="ED38" s="354"/>
      <c r="EE38" s="354"/>
      <c r="EF38" s="354"/>
      <c r="EG38" s="10"/>
      <c r="EH38" s="19"/>
      <c r="EI38" s="20"/>
      <c r="EJ38" s="20"/>
      <c r="EK38" s="21"/>
      <c r="EL38" s="290"/>
    </row>
    <row r="39" spans="1:219" s="115" customFormat="1" ht="17.25" thickBot="1" x14ac:dyDescent="0.35">
      <c r="A39" s="122" t="s">
        <v>74</v>
      </c>
      <c r="B39" s="123"/>
      <c r="C39" s="123"/>
      <c r="D39" s="109"/>
      <c r="E39" s="110">
        <v>515</v>
      </c>
      <c r="F39" s="110">
        <v>408</v>
      </c>
      <c r="G39" s="110">
        <v>164</v>
      </c>
      <c r="H39" s="110">
        <v>132</v>
      </c>
      <c r="I39" s="110">
        <v>31</v>
      </c>
      <c r="J39" s="110">
        <v>1</v>
      </c>
      <c r="K39" s="110">
        <v>0</v>
      </c>
      <c r="L39" s="110">
        <v>197</v>
      </c>
      <c r="M39" s="110">
        <v>142</v>
      </c>
      <c r="N39" s="110">
        <v>169</v>
      </c>
      <c r="O39" s="110">
        <v>98</v>
      </c>
      <c r="P39" s="110">
        <v>7</v>
      </c>
      <c r="Q39" s="110">
        <v>0</v>
      </c>
      <c r="R39" s="110">
        <v>7</v>
      </c>
      <c r="S39" s="110">
        <v>78</v>
      </c>
      <c r="T39" s="110">
        <v>23</v>
      </c>
      <c r="U39" s="110">
        <f>SUM(U3:U38)</f>
        <v>101</v>
      </c>
      <c r="V39" s="110">
        <v>81</v>
      </c>
      <c r="W39" s="111">
        <v>5</v>
      </c>
      <c r="X39" s="117">
        <v>0.40196078431372551</v>
      </c>
      <c r="Y39" s="118">
        <v>0.51356589147286824</v>
      </c>
      <c r="Z39" s="118">
        <v>0.48284313725490197</v>
      </c>
      <c r="AA39" s="119">
        <v>0.99640902872777026</v>
      </c>
      <c r="AB39" s="125" t="s">
        <v>330</v>
      </c>
      <c r="AC39" s="120"/>
      <c r="AD39" s="124" t="s">
        <v>115</v>
      </c>
      <c r="AE39" s="116"/>
      <c r="AF39" s="145">
        <f t="shared" ref="AF39:AV39" si="58">SUM(AF3:AF38)</f>
        <v>503</v>
      </c>
      <c r="AG39" s="145">
        <f t="shared" si="58"/>
        <v>411</v>
      </c>
      <c r="AH39" s="145">
        <f t="shared" si="58"/>
        <v>170</v>
      </c>
      <c r="AI39" s="145">
        <f t="shared" si="58"/>
        <v>135</v>
      </c>
      <c r="AJ39" s="145">
        <f t="shared" si="58"/>
        <v>26</v>
      </c>
      <c r="AK39" s="145">
        <f t="shared" si="58"/>
        <v>6</v>
      </c>
      <c r="AL39" s="145">
        <f t="shared" si="58"/>
        <v>3</v>
      </c>
      <c r="AM39" s="145">
        <f t="shared" si="58"/>
        <v>217</v>
      </c>
      <c r="AN39" s="145">
        <f t="shared" si="58"/>
        <v>129</v>
      </c>
      <c r="AO39" s="145">
        <f t="shared" si="58"/>
        <v>187</v>
      </c>
      <c r="AP39" s="145">
        <f t="shared" si="58"/>
        <v>119</v>
      </c>
      <c r="AQ39" s="145">
        <f t="shared" si="58"/>
        <v>4</v>
      </c>
      <c r="AR39" s="145">
        <f t="shared" si="58"/>
        <v>0</v>
      </c>
      <c r="AS39" s="145">
        <f t="shared" si="58"/>
        <v>3</v>
      </c>
      <c r="AT39" s="145">
        <f t="shared" si="58"/>
        <v>68</v>
      </c>
      <c r="AU39" s="145">
        <f t="shared" si="58"/>
        <v>21</v>
      </c>
      <c r="AV39" s="145">
        <f t="shared" si="58"/>
        <v>89</v>
      </c>
      <c r="AW39" s="145">
        <f>SUM(AW3:AW38)</f>
        <v>86</v>
      </c>
      <c r="AX39" s="145">
        <v>0</v>
      </c>
      <c r="AY39" s="112">
        <v>0.42199488491048592</v>
      </c>
      <c r="AZ39" s="113">
        <v>0.52092050209205021</v>
      </c>
      <c r="BA39" s="113">
        <v>0.53964194373401531</v>
      </c>
      <c r="BB39" s="114">
        <v>1.0605624458260654</v>
      </c>
      <c r="BC39" s="228" t="s">
        <v>331</v>
      </c>
      <c r="BD39" s="120"/>
      <c r="BE39" s="156" t="s">
        <v>285</v>
      </c>
      <c r="BF39" s="157"/>
      <c r="BG39" s="184"/>
      <c r="BH39" s="116"/>
      <c r="BI39" s="222">
        <f>SUM(BI3:BI38)</f>
        <v>586</v>
      </c>
      <c r="BJ39" s="222">
        <f t="shared" ref="BJ39:BX39" si="59">SUM(BJ3:BJ38)</f>
        <v>477</v>
      </c>
      <c r="BK39" s="222">
        <f t="shared" si="59"/>
        <v>192</v>
      </c>
      <c r="BL39" s="222">
        <f t="shared" si="59"/>
        <v>150</v>
      </c>
      <c r="BM39" s="222">
        <f t="shared" si="59"/>
        <v>29</v>
      </c>
      <c r="BN39" s="222">
        <f t="shared" si="59"/>
        <v>13</v>
      </c>
      <c r="BO39" s="222">
        <f t="shared" si="59"/>
        <v>0</v>
      </c>
      <c r="BP39" s="222">
        <f t="shared" si="59"/>
        <v>247</v>
      </c>
      <c r="BQ39" s="222">
        <f t="shared" si="59"/>
        <v>168</v>
      </c>
      <c r="BR39" s="222">
        <f t="shared" si="59"/>
        <v>210</v>
      </c>
      <c r="BS39" s="222">
        <f t="shared" si="59"/>
        <v>102</v>
      </c>
      <c r="BT39" s="222">
        <f t="shared" si="59"/>
        <v>0</v>
      </c>
      <c r="BU39" s="222">
        <f t="shared" si="59"/>
        <v>0</v>
      </c>
      <c r="BV39" s="222">
        <f t="shared" si="59"/>
        <v>6</v>
      </c>
      <c r="BW39" s="222">
        <f t="shared" si="59"/>
        <v>88</v>
      </c>
      <c r="BX39" s="222">
        <f t="shared" si="59"/>
        <v>15</v>
      </c>
      <c r="BY39" s="110">
        <f>SUM(BY3:BY38)</f>
        <v>103</v>
      </c>
      <c r="BZ39" s="222">
        <f>SUM(BZ3:BZ38)</f>
        <v>88</v>
      </c>
      <c r="CA39" s="223">
        <f>SUM(CA3:CA38)</f>
        <v>2</v>
      </c>
      <c r="CB39" s="117">
        <f>BK39/BJ39</f>
        <v>0.40251572327044027</v>
      </c>
      <c r="CC39" s="118">
        <f>(BK39+BW39+BX39)/(BJ39+BW39+BX39+BV39+BU39)</f>
        <v>0.5034129692832765</v>
      </c>
      <c r="CD39" s="118">
        <f>BP39/BJ39</f>
        <v>0.51781970649895182</v>
      </c>
      <c r="CE39" s="119">
        <f>CC39+CD39</f>
        <v>1.0212326757822283</v>
      </c>
      <c r="CF39" s="120" t="s">
        <v>332</v>
      </c>
      <c r="CH39" s="109"/>
      <c r="CI39" s="110"/>
      <c r="CJ39" s="111"/>
      <c r="CK39" s="123"/>
      <c r="CL39" s="123">
        <f>SUM(CL3:CL38)</f>
        <v>633</v>
      </c>
      <c r="CM39" s="123">
        <f t="shared" ref="CM39:DD39" si="60">SUM(CM3:CM38)</f>
        <v>520</v>
      </c>
      <c r="CN39" s="123">
        <f t="shared" si="60"/>
        <v>175</v>
      </c>
      <c r="CO39" s="123">
        <f t="shared" si="60"/>
        <v>144</v>
      </c>
      <c r="CP39" s="123">
        <f t="shared" si="60"/>
        <v>29</v>
      </c>
      <c r="CQ39" s="123">
        <f t="shared" si="60"/>
        <v>1</v>
      </c>
      <c r="CR39" s="123">
        <f t="shared" si="60"/>
        <v>1</v>
      </c>
      <c r="CS39" s="123">
        <f t="shared" si="60"/>
        <v>209</v>
      </c>
      <c r="CT39" s="123">
        <f t="shared" si="60"/>
        <v>137</v>
      </c>
      <c r="CU39" s="123">
        <f t="shared" si="60"/>
        <v>168</v>
      </c>
      <c r="CV39" s="123">
        <f t="shared" si="60"/>
        <v>128</v>
      </c>
      <c r="CW39" s="123">
        <f t="shared" si="60"/>
        <v>2</v>
      </c>
      <c r="CX39" s="123">
        <f t="shared" si="60"/>
        <v>0</v>
      </c>
      <c r="CY39" s="123">
        <f t="shared" si="60"/>
        <v>7</v>
      </c>
      <c r="CZ39" s="123">
        <f t="shared" si="60"/>
        <v>91</v>
      </c>
      <c r="DA39" s="123">
        <f t="shared" si="60"/>
        <v>15</v>
      </c>
      <c r="DB39" s="123">
        <f t="shared" si="60"/>
        <v>106</v>
      </c>
      <c r="DC39" s="123">
        <f t="shared" si="60"/>
        <v>139</v>
      </c>
      <c r="DD39" s="123">
        <f t="shared" si="60"/>
        <v>5</v>
      </c>
      <c r="DE39" s="280">
        <f>CN39/CM39</f>
        <v>0.33653846153846156</v>
      </c>
      <c r="DF39" s="281">
        <f t="shared" ref="DF39" si="61">(CN39+CZ39+DA39)/(CM39+CZ39+DA39+CY39+CX39)</f>
        <v>0.44391785150078988</v>
      </c>
      <c r="DG39" s="281">
        <f t="shared" ref="DG39" si="62">((CO39*1)+(CP39*2)+(CQ39*3)+(CR39*4))/CM39</f>
        <v>0.40192307692307694</v>
      </c>
      <c r="DH39" s="282">
        <f t="shared" ref="DH39" si="63">DF39+DG39</f>
        <v>0.84584092842386682</v>
      </c>
      <c r="DI39" s="111"/>
      <c r="DJ39" s="120"/>
      <c r="DK39" s="109"/>
      <c r="DL39" s="110"/>
      <c r="DM39" s="111"/>
      <c r="DN39" s="123"/>
      <c r="DO39" s="123">
        <f>SUM(DO3:DO38)</f>
        <v>126</v>
      </c>
      <c r="DP39" s="123">
        <f t="shared" ref="DP39:EG39" si="64">SUM(DP3:DP38)</f>
        <v>95</v>
      </c>
      <c r="DQ39" s="123">
        <f t="shared" si="64"/>
        <v>29</v>
      </c>
      <c r="DR39" s="123">
        <f t="shared" si="64"/>
        <v>23</v>
      </c>
      <c r="DS39" s="123">
        <f t="shared" si="64"/>
        <v>6</v>
      </c>
      <c r="DT39" s="123">
        <f t="shared" si="64"/>
        <v>0</v>
      </c>
      <c r="DU39" s="123">
        <f t="shared" si="64"/>
        <v>0</v>
      </c>
      <c r="DV39" s="123">
        <f t="shared" si="64"/>
        <v>35</v>
      </c>
      <c r="DW39" s="123">
        <f t="shared" si="64"/>
        <v>23</v>
      </c>
      <c r="DX39" s="123">
        <f t="shared" si="64"/>
        <v>29</v>
      </c>
      <c r="DY39" s="123">
        <f t="shared" si="64"/>
        <v>28</v>
      </c>
      <c r="DZ39" s="123">
        <f t="shared" si="64"/>
        <v>0</v>
      </c>
      <c r="EA39" s="123">
        <f t="shared" si="64"/>
        <v>0</v>
      </c>
      <c r="EB39" s="123">
        <f t="shared" si="64"/>
        <v>0</v>
      </c>
      <c r="EC39" s="123">
        <f t="shared" si="64"/>
        <v>28</v>
      </c>
      <c r="ED39" s="123">
        <f t="shared" si="64"/>
        <v>4</v>
      </c>
      <c r="EE39" s="123">
        <f t="shared" si="64"/>
        <v>32</v>
      </c>
      <c r="EF39" s="123">
        <f t="shared" si="64"/>
        <v>21</v>
      </c>
      <c r="EG39" s="123">
        <f t="shared" si="64"/>
        <v>5</v>
      </c>
      <c r="EH39" s="280">
        <f>DQ39/DP39</f>
        <v>0.30526315789473685</v>
      </c>
      <c r="EI39" s="281">
        <f t="shared" ref="EI39" si="65">(DQ39+EC39+ED39)/(DP39+EC39+ED39+EB39+EA39)</f>
        <v>0.48031496062992124</v>
      </c>
      <c r="EJ39" s="281">
        <f t="shared" ref="EJ39" si="66">((DR39*1)+(DS39*2)+(DT39*3)+(DU39*4))/DP39</f>
        <v>0.36842105263157893</v>
      </c>
      <c r="EK39" s="282">
        <f t="shared" ref="EK39" si="67">EI39+EJ39</f>
        <v>0.84873601326150017</v>
      </c>
      <c r="EL39" s="111"/>
      <c r="EM39" s="120"/>
      <c r="EN39" s="120"/>
      <c r="EO39" s="120"/>
      <c r="EP39" s="120"/>
      <c r="EQ39" s="120"/>
      <c r="ER39" s="120"/>
      <c r="ES39" s="120"/>
      <c r="ET39" s="120"/>
      <c r="EU39" s="120"/>
      <c r="EV39" s="120"/>
      <c r="EW39" s="120"/>
      <c r="EX39" s="120"/>
      <c r="EY39" s="120"/>
      <c r="EZ39" s="120"/>
      <c r="FA39" s="120"/>
      <c r="FB39" s="120"/>
      <c r="FC39" s="120"/>
      <c r="FD39" s="120"/>
      <c r="FE39" s="120"/>
      <c r="FF39" s="120"/>
      <c r="FG39" s="120"/>
      <c r="FH39" s="120"/>
      <c r="FI39" s="120"/>
      <c r="FJ39" s="120"/>
      <c r="FK39" s="120"/>
      <c r="FL39" s="120"/>
      <c r="FM39" s="120"/>
      <c r="FN39" s="120"/>
      <c r="FO39" s="120"/>
      <c r="FP39" s="120"/>
      <c r="FQ39" s="120"/>
      <c r="FR39" s="120"/>
      <c r="FS39" s="120"/>
      <c r="FT39" s="120"/>
      <c r="FU39" s="120"/>
      <c r="FV39" s="120"/>
      <c r="FW39" s="120"/>
      <c r="FX39" s="120"/>
      <c r="FY39" s="120"/>
      <c r="FZ39" s="120"/>
      <c r="GA39" s="120"/>
      <c r="GB39" s="120"/>
      <c r="GC39" s="120"/>
      <c r="GD39" s="120"/>
      <c r="GE39" s="120"/>
      <c r="GF39" s="120"/>
      <c r="GG39" s="120"/>
      <c r="GH39" s="120"/>
      <c r="GI39" s="120"/>
      <c r="GJ39" s="120"/>
      <c r="GK39" s="120"/>
      <c r="GL39" s="120"/>
      <c r="GM39" s="120"/>
      <c r="GN39" s="120"/>
      <c r="GO39" s="120"/>
      <c r="GP39" s="120"/>
      <c r="GQ39" s="120"/>
      <c r="GR39" s="120"/>
      <c r="GS39" s="120"/>
      <c r="GT39" s="120"/>
      <c r="GU39" s="120"/>
      <c r="GV39" s="120"/>
      <c r="GW39" s="120"/>
      <c r="GX39" s="120"/>
      <c r="GY39" s="120"/>
      <c r="GZ39" s="120"/>
      <c r="HA39" s="120"/>
      <c r="HB39" s="120"/>
      <c r="HC39" s="120"/>
      <c r="HD39" s="120"/>
      <c r="HE39" s="120"/>
      <c r="HF39" s="120"/>
      <c r="HG39" s="120"/>
      <c r="HH39" s="120"/>
      <c r="HI39" s="120"/>
      <c r="HJ39" s="120"/>
      <c r="HK39" s="120"/>
    </row>
    <row r="40" spans="1:219" ht="17.25" thickBot="1" x14ac:dyDescent="0.35">
      <c r="AL40" s="186"/>
      <c r="AM40" s="186"/>
      <c r="AN40" s="186"/>
      <c r="BG40" s="2"/>
      <c r="BH40" s="79"/>
      <c r="BI40" s="79"/>
      <c r="BJ40" s="79"/>
      <c r="BK40" s="2" t="s">
        <v>287</v>
      </c>
      <c r="BL40" s="79" t="s">
        <v>319</v>
      </c>
      <c r="BM40" s="8"/>
      <c r="BN40" s="102" t="s">
        <v>118</v>
      </c>
      <c r="BO40" s="432" t="s">
        <v>120</v>
      </c>
      <c r="BP40" s="432"/>
      <c r="BQ40" s="432"/>
      <c r="BR40" s="432"/>
      <c r="BS40" s="432"/>
      <c r="BT40" s="433"/>
    </row>
    <row r="41" spans="1:219" ht="17.25" thickBot="1" x14ac:dyDescent="0.35">
      <c r="BG41" s="443"/>
      <c r="BH41" s="444"/>
      <c r="BI41" s="439" t="s">
        <v>379</v>
      </c>
      <c r="BJ41" s="439"/>
      <c r="BK41" s="1">
        <v>81</v>
      </c>
      <c r="BL41" s="291">
        <f>BK41*2</f>
        <v>162</v>
      </c>
      <c r="BM41" s="9">
        <f>BK41*1.5</f>
        <v>121.5</v>
      </c>
      <c r="BN41" s="102" t="s">
        <v>300</v>
      </c>
      <c r="BO41" s="434" t="s">
        <v>301</v>
      </c>
      <c r="BP41" s="435"/>
      <c r="BQ41" s="435"/>
      <c r="BR41" s="435"/>
      <c r="BS41" s="435"/>
      <c r="BT41" s="436"/>
      <c r="BY41" s="4" t="s">
        <v>662</v>
      </c>
    </row>
    <row r="42" spans="1:219" ht="17.25" thickBot="1" x14ac:dyDescent="0.35">
      <c r="AP42" s="154"/>
      <c r="AQ42" s="154"/>
      <c r="BA42" s="154"/>
      <c r="BB42" s="154"/>
      <c r="BC42" s="154"/>
      <c r="BG42" s="445"/>
      <c r="BH42" s="446"/>
      <c r="BI42" s="431" t="s">
        <v>124</v>
      </c>
      <c r="BJ42" s="431"/>
      <c r="BK42" s="3"/>
      <c r="BL42" s="289" t="s">
        <v>316</v>
      </c>
      <c r="BM42" s="10" t="s">
        <v>317</v>
      </c>
      <c r="BN42" s="102" t="s">
        <v>119</v>
      </c>
      <c r="BO42" s="437" t="s">
        <v>121</v>
      </c>
      <c r="BP42" s="437"/>
      <c r="BQ42" s="437"/>
      <c r="BR42" s="437"/>
      <c r="BS42" s="437"/>
      <c r="BT42" s="438"/>
      <c r="BY42" s="48" t="s">
        <v>467</v>
      </c>
      <c r="BZ42" s="23">
        <f>CH116</f>
        <v>0.41176470588235292</v>
      </c>
      <c r="CA42" s="48" t="s">
        <v>467</v>
      </c>
      <c r="CB42" s="23">
        <f>CI116</f>
        <v>0.51710261569416494</v>
      </c>
      <c r="CC42" s="48" t="s">
        <v>467</v>
      </c>
      <c r="CD42" s="23">
        <f>CJ116</f>
        <v>0.51063829787234039</v>
      </c>
      <c r="CE42" s="48" t="s">
        <v>467</v>
      </c>
      <c r="CF42" s="24">
        <f>CK116</f>
        <v>1.0277409135665052</v>
      </c>
      <c r="CG42" s="290"/>
      <c r="CI42" s="290"/>
      <c r="CK42" s="290"/>
    </row>
    <row r="43" spans="1:219" ht="17.25" thickBot="1" x14ac:dyDescent="0.35">
      <c r="AD43" s="25"/>
      <c r="AE43" s="25"/>
      <c r="AJ43" s="6" t="s">
        <v>382</v>
      </c>
      <c r="AK43" s="35" t="s">
        <v>258</v>
      </c>
      <c r="AL43" s="278">
        <v>100</v>
      </c>
      <c r="AM43" s="376" t="s">
        <v>79</v>
      </c>
      <c r="AN43" s="377">
        <v>300</v>
      </c>
      <c r="AO43" s="341" t="s">
        <v>383</v>
      </c>
      <c r="AP43" s="227">
        <v>200</v>
      </c>
      <c r="AQ43" s="226" t="s">
        <v>384</v>
      </c>
      <c r="AR43" s="227">
        <v>100</v>
      </c>
      <c r="AS43" s="212" t="s">
        <v>385</v>
      </c>
      <c r="AT43" s="213">
        <v>100</v>
      </c>
      <c r="AU43" s="212" t="s">
        <v>386</v>
      </c>
      <c r="AV43" s="213">
        <v>50</v>
      </c>
      <c r="AW43" s="226" t="s">
        <v>387</v>
      </c>
      <c r="AX43" s="227">
        <v>50</v>
      </c>
      <c r="AY43" s="226" t="s">
        <v>388</v>
      </c>
      <c r="AZ43" s="227">
        <v>50</v>
      </c>
      <c r="BA43" s="212" t="s">
        <v>389</v>
      </c>
      <c r="BB43" s="213">
        <v>100</v>
      </c>
      <c r="BC43" s="212" t="s">
        <v>390</v>
      </c>
      <c r="BD43" s="213">
        <v>100</v>
      </c>
      <c r="BE43" s="212" t="s">
        <v>391</v>
      </c>
      <c r="BF43" s="213">
        <v>100</v>
      </c>
      <c r="BG43" s="212" t="s">
        <v>392</v>
      </c>
      <c r="BH43" s="213">
        <v>100</v>
      </c>
      <c r="BI43" s="226" t="s">
        <v>393</v>
      </c>
      <c r="BJ43" s="227"/>
      <c r="BK43" s="37" t="s">
        <v>394</v>
      </c>
      <c r="BL43" s="307"/>
      <c r="BM43" s="37" t="s">
        <v>395</v>
      </c>
      <c r="BN43" s="307"/>
      <c r="BO43" s="212" t="s">
        <v>396</v>
      </c>
      <c r="BP43" s="213">
        <v>100</v>
      </c>
      <c r="BQ43" s="226" t="s">
        <v>397</v>
      </c>
      <c r="BR43" s="286"/>
      <c r="BS43" s="357" t="s">
        <v>123</v>
      </c>
      <c r="BT43" s="357">
        <v>100</v>
      </c>
      <c r="BU43" s="278" t="s">
        <v>398</v>
      </c>
      <c r="BV43" s="213">
        <v>100</v>
      </c>
      <c r="BW43" s="226" t="s">
        <v>399</v>
      </c>
      <c r="BX43" s="227"/>
      <c r="BY43" s="293" t="s">
        <v>400</v>
      </c>
      <c r="BZ43" s="294"/>
      <c r="CA43" s="293" t="s">
        <v>401</v>
      </c>
      <c r="CB43" s="294"/>
      <c r="CC43" s="293" t="s">
        <v>402</v>
      </c>
      <c r="CD43" s="294"/>
      <c r="CE43" s="293" t="s">
        <v>403</v>
      </c>
      <c r="CF43" s="294"/>
      <c r="CG43" s="293" t="s">
        <v>404</v>
      </c>
      <c r="CH43" s="79"/>
      <c r="CI43" s="447" t="s">
        <v>405</v>
      </c>
      <c r="CJ43" s="448"/>
      <c r="CK43" s="449" t="s">
        <v>406</v>
      </c>
      <c r="CL43" s="448"/>
      <c r="CM43" s="284"/>
      <c r="CN43" s="386" t="s">
        <v>79</v>
      </c>
      <c r="CO43" s="387">
        <v>300</v>
      </c>
      <c r="CP43" s="148">
        <f>BK41*2</f>
        <v>162</v>
      </c>
      <c r="CQ43" s="4">
        <f>BK41*1.5</f>
        <v>121.5</v>
      </c>
    </row>
    <row r="44" spans="1:219" x14ac:dyDescent="0.3">
      <c r="AD44" s="25"/>
      <c r="AE44" s="25"/>
      <c r="AJ44" s="129">
        <v>1</v>
      </c>
      <c r="AK44" s="72" t="s">
        <v>168</v>
      </c>
      <c r="AL44" s="292">
        <v>72</v>
      </c>
      <c r="AM44" s="72" t="s">
        <v>2</v>
      </c>
      <c r="AN44" s="131">
        <v>227</v>
      </c>
      <c r="AO44" s="73" t="s">
        <v>407</v>
      </c>
      <c r="AP44" s="73">
        <v>188</v>
      </c>
      <c r="AQ44" s="73" t="s">
        <v>485</v>
      </c>
      <c r="AR44" s="71">
        <v>86</v>
      </c>
      <c r="AS44" s="129" t="s">
        <v>463</v>
      </c>
      <c r="AT44" s="72">
        <v>76</v>
      </c>
      <c r="AU44" s="131" t="s">
        <v>409</v>
      </c>
      <c r="AV44" s="131">
        <v>20</v>
      </c>
      <c r="AW44" s="72" t="s">
        <v>409</v>
      </c>
      <c r="AX44" s="71">
        <v>4</v>
      </c>
      <c r="AY44" s="69" t="s">
        <v>410</v>
      </c>
      <c r="AZ44" s="129">
        <v>1</v>
      </c>
      <c r="BA44" s="72" t="s">
        <v>409</v>
      </c>
      <c r="BB44" s="131">
        <v>101</v>
      </c>
      <c r="BC44" s="129" t="s">
        <v>277</v>
      </c>
      <c r="BD44" s="129">
        <v>66</v>
      </c>
      <c r="BE44" s="129" t="s">
        <v>407</v>
      </c>
      <c r="BF44" s="72">
        <v>93</v>
      </c>
      <c r="BG44" s="292" t="s">
        <v>407</v>
      </c>
      <c r="BH44" s="72">
        <v>72</v>
      </c>
      <c r="BI44" s="131" t="s">
        <v>411</v>
      </c>
      <c r="BJ44" s="292">
        <v>3</v>
      </c>
      <c r="BK44" s="130" t="s">
        <v>412</v>
      </c>
      <c r="BL44" s="132">
        <v>0</v>
      </c>
      <c r="BM44" s="131" t="s">
        <v>408</v>
      </c>
      <c r="BN44" s="292">
        <v>4</v>
      </c>
      <c r="BO44" s="72" t="s">
        <v>487</v>
      </c>
      <c r="BP44" s="131">
        <v>42</v>
      </c>
      <c r="BQ44" s="73" t="s">
        <v>413</v>
      </c>
      <c r="BR44" s="71">
        <v>10</v>
      </c>
      <c r="BS44" s="129" t="s">
        <v>409</v>
      </c>
      <c r="BT44" s="72">
        <v>49</v>
      </c>
      <c r="BU44" s="131" t="s">
        <v>593</v>
      </c>
      <c r="BV44" s="292">
        <v>44</v>
      </c>
      <c r="BW44" s="72" t="s">
        <v>618</v>
      </c>
      <c r="BX44" s="131">
        <v>3</v>
      </c>
      <c r="BY44" s="292" t="s">
        <v>280</v>
      </c>
      <c r="BZ44" s="331">
        <v>0.57599999999999996</v>
      </c>
      <c r="CA44" s="129" t="s">
        <v>280</v>
      </c>
      <c r="CB44" s="331">
        <v>0.68</v>
      </c>
      <c r="CC44" s="292" t="s">
        <v>280</v>
      </c>
      <c r="CD44" s="331">
        <v>0.8</v>
      </c>
      <c r="CE44" s="292" t="s">
        <v>409</v>
      </c>
      <c r="CF44" s="318">
        <v>1.48</v>
      </c>
      <c r="CG44" s="129" t="s">
        <v>409</v>
      </c>
      <c r="CH44" s="406">
        <v>69.150000000000006</v>
      </c>
      <c r="CI44" s="6" t="s">
        <v>503</v>
      </c>
      <c r="CJ44" s="328">
        <v>11.6</v>
      </c>
      <c r="CK44" s="131" t="s">
        <v>600</v>
      </c>
      <c r="CL44" s="322">
        <v>62.75</v>
      </c>
      <c r="CM44" s="284"/>
      <c r="CN44" s="72" t="s">
        <v>2</v>
      </c>
      <c r="CO44" s="131">
        <v>227</v>
      </c>
    </row>
    <row r="45" spans="1:219" x14ac:dyDescent="0.3">
      <c r="AJ45" s="69">
        <v>2</v>
      </c>
      <c r="AK45" s="70" t="s">
        <v>407</v>
      </c>
      <c r="AL45" s="71">
        <v>70</v>
      </c>
      <c r="AM45" s="70" t="s">
        <v>41</v>
      </c>
      <c r="AN45" s="73">
        <v>204</v>
      </c>
      <c r="AO45" s="73" t="s">
        <v>408</v>
      </c>
      <c r="AP45" s="73">
        <v>167</v>
      </c>
      <c r="AQ45" s="73" t="s">
        <v>409</v>
      </c>
      <c r="AR45" s="71">
        <v>73</v>
      </c>
      <c r="AS45" s="69" t="s">
        <v>464</v>
      </c>
      <c r="AT45" s="70">
        <v>54</v>
      </c>
      <c r="AU45" s="73" t="s">
        <v>420</v>
      </c>
      <c r="AV45" s="73">
        <v>12</v>
      </c>
      <c r="AW45" s="70" t="s">
        <v>416</v>
      </c>
      <c r="AX45" s="73">
        <v>3</v>
      </c>
      <c r="AY45" s="69" t="s">
        <v>326</v>
      </c>
      <c r="AZ45" s="69">
        <v>1</v>
      </c>
      <c r="BA45" s="70" t="s">
        <v>407</v>
      </c>
      <c r="BB45" s="73">
        <v>96</v>
      </c>
      <c r="BC45" s="69" t="s">
        <v>409</v>
      </c>
      <c r="BD45" s="69">
        <v>61</v>
      </c>
      <c r="BE45" s="69" t="s">
        <v>280</v>
      </c>
      <c r="BF45" s="70">
        <v>89</v>
      </c>
      <c r="BG45" s="71" t="s">
        <v>408</v>
      </c>
      <c r="BH45" s="70">
        <v>52</v>
      </c>
      <c r="BI45" s="73" t="s">
        <v>407</v>
      </c>
      <c r="BJ45" s="71">
        <v>2</v>
      </c>
      <c r="BK45" s="61" t="s">
        <v>418</v>
      </c>
      <c r="BL45" s="75">
        <v>0</v>
      </c>
      <c r="BM45" s="73" t="s">
        <v>315</v>
      </c>
      <c r="BN45" s="71">
        <v>4</v>
      </c>
      <c r="BO45" s="70" t="s">
        <v>485</v>
      </c>
      <c r="BP45" s="73">
        <v>37</v>
      </c>
      <c r="BQ45" s="73" t="s">
        <v>521</v>
      </c>
      <c r="BR45" s="71">
        <v>9</v>
      </c>
      <c r="BS45" s="69" t="s">
        <v>320</v>
      </c>
      <c r="BT45" s="70">
        <v>38</v>
      </c>
      <c r="BU45" s="73" t="s">
        <v>594</v>
      </c>
      <c r="BV45" s="71">
        <v>41</v>
      </c>
      <c r="BW45" s="70" t="s">
        <v>435</v>
      </c>
      <c r="BX45" s="73">
        <v>2</v>
      </c>
      <c r="BY45" s="71" t="s">
        <v>427</v>
      </c>
      <c r="BZ45" s="332">
        <v>0.45900000000000002</v>
      </c>
      <c r="CA45" s="69" t="s">
        <v>407</v>
      </c>
      <c r="CB45" s="332">
        <v>0.54900000000000004</v>
      </c>
      <c r="CC45" s="71" t="s">
        <v>408</v>
      </c>
      <c r="CD45" s="332">
        <v>0.54</v>
      </c>
      <c r="CE45" s="71" t="s">
        <v>407</v>
      </c>
      <c r="CF45" s="319">
        <v>1.0629999999999999</v>
      </c>
      <c r="CG45" s="69" t="s">
        <v>407</v>
      </c>
      <c r="CH45" s="398">
        <v>67.739999999999995</v>
      </c>
      <c r="CI45" s="67" t="s">
        <v>415</v>
      </c>
      <c r="CJ45" s="253">
        <v>10.23</v>
      </c>
      <c r="CK45" s="73" t="s">
        <v>407</v>
      </c>
      <c r="CL45" s="323">
        <v>60.79</v>
      </c>
      <c r="CM45" s="284"/>
      <c r="CN45" s="70" t="s">
        <v>41</v>
      </c>
      <c r="CO45" s="73">
        <v>204</v>
      </c>
    </row>
    <row r="46" spans="1:219" x14ac:dyDescent="0.3">
      <c r="AJ46" s="69">
        <v>3</v>
      </c>
      <c r="AK46" s="70" t="s">
        <v>420</v>
      </c>
      <c r="AL46" s="71">
        <v>67</v>
      </c>
      <c r="AM46" s="70" t="s">
        <v>277</v>
      </c>
      <c r="AN46" s="73">
        <v>192</v>
      </c>
      <c r="AO46" s="73" t="s">
        <v>420</v>
      </c>
      <c r="AP46" s="73">
        <v>157</v>
      </c>
      <c r="AQ46" s="73" t="s">
        <v>486</v>
      </c>
      <c r="AR46" s="71">
        <v>69</v>
      </c>
      <c r="AS46" s="69" t="s">
        <v>414</v>
      </c>
      <c r="AT46" s="70">
        <v>51</v>
      </c>
      <c r="AU46" s="73" t="s">
        <v>408</v>
      </c>
      <c r="AV46" s="73">
        <v>12</v>
      </c>
      <c r="AW46" s="70" t="s">
        <v>420</v>
      </c>
      <c r="AX46" s="71">
        <v>3</v>
      </c>
      <c r="AY46" s="69" t="s">
        <v>408</v>
      </c>
      <c r="AZ46" s="69">
        <v>1</v>
      </c>
      <c r="BA46" s="70" t="s">
        <v>417</v>
      </c>
      <c r="BB46" s="73">
        <v>88</v>
      </c>
      <c r="BC46" s="69" t="s">
        <v>408</v>
      </c>
      <c r="BD46" s="69">
        <v>53</v>
      </c>
      <c r="BE46" s="69" t="s">
        <v>408</v>
      </c>
      <c r="BF46" s="70">
        <v>85</v>
      </c>
      <c r="BG46" s="71" t="s">
        <v>424</v>
      </c>
      <c r="BH46" s="70">
        <v>48</v>
      </c>
      <c r="BI46" s="73" t="s">
        <v>418</v>
      </c>
      <c r="BJ46" s="71">
        <v>1</v>
      </c>
      <c r="BK46" s="61" t="s">
        <v>422</v>
      </c>
      <c r="BL46" s="75">
        <v>0</v>
      </c>
      <c r="BM46" s="73" t="s">
        <v>409</v>
      </c>
      <c r="BN46" s="71">
        <v>3</v>
      </c>
      <c r="BO46" s="70" t="s">
        <v>420</v>
      </c>
      <c r="BP46" s="73">
        <v>34</v>
      </c>
      <c r="BQ46" s="73" t="s">
        <v>0</v>
      </c>
      <c r="BR46" s="71">
        <v>7</v>
      </c>
      <c r="BS46" s="69" t="s">
        <v>277</v>
      </c>
      <c r="BT46" s="70">
        <v>34</v>
      </c>
      <c r="BU46" s="73" t="s">
        <v>579</v>
      </c>
      <c r="BV46" s="71">
        <v>39</v>
      </c>
      <c r="BW46" s="70" t="s">
        <v>619</v>
      </c>
      <c r="BX46" s="73">
        <v>2</v>
      </c>
      <c r="BY46" s="71" t="s">
        <v>408</v>
      </c>
      <c r="BZ46" s="332">
        <v>0.42299999999999999</v>
      </c>
      <c r="CA46" s="69" t="s">
        <v>408</v>
      </c>
      <c r="CB46" s="332">
        <v>0.50800000000000001</v>
      </c>
      <c r="CC46" s="71" t="s">
        <v>407</v>
      </c>
      <c r="CD46" s="332">
        <v>0.51400000000000001</v>
      </c>
      <c r="CE46" s="71" t="s">
        <v>408</v>
      </c>
      <c r="CF46" s="319">
        <v>1.0469999999999999</v>
      </c>
      <c r="CG46" s="69" t="s">
        <v>408</v>
      </c>
      <c r="CH46" s="398">
        <v>55.69</v>
      </c>
      <c r="CI46" s="67" t="s">
        <v>419</v>
      </c>
      <c r="CJ46" s="253">
        <v>6.44</v>
      </c>
      <c r="CK46" s="73" t="s">
        <v>408</v>
      </c>
      <c r="CL46" s="323">
        <v>51.4</v>
      </c>
      <c r="CM46" s="284"/>
      <c r="CN46" s="70" t="s">
        <v>277</v>
      </c>
      <c r="CO46" s="73">
        <v>192</v>
      </c>
    </row>
    <row r="47" spans="1:219" x14ac:dyDescent="0.3">
      <c r="AJ47" s="69">
        <v>4</v>
      </c>
      <c r="AK47" s="70" t="s">
        <v>409</v>
      </c>
      <c r="AL47" s="71">
        <v>57</v>
      </c>
      <c r="AM47" s="70" t="s">
        <v>549</v>
      </c>
      <c r="AN47" s="73">
        <v>182</v>
      </c>
      <c r="AO47" s="73" t="s">
        <v>414</v>
      </c>
      <c r="AP47" s="73">
        <v>141</v>
      </c>
      <c r="AQ47" s="73" t="s">
        <v>414</v>
      </c>
      <c r="AR47" s="71">
        <v>59</v>
      </c>
      <c r="AS47" s="69" t="s">
        <v>409</v>
      </c>
      <c r="AT47" s="70">
        <v>49</v>
      </c>
      <c r="AU47" s="73" t="s">
        <v>407</v>
      </c>
      <c r="AV47" s="73">
        <v>10</v>
      </c>
      <c r="AW47" s="70" t="s">
        <v>425</v>
      </c>
      <c r="AX47" s="71">
        <v>3</v>
      </c>
      <c r="AY47" s="69" t="s">
        <v>426</v>
      </c>
      <c r="AZ47" s="69">
        <v>1</v>
      </c>
      <c r="BA47" s="70" t="s">
        <v>420</v>
      </c>
      <c r="BB47" s="73">
        <v>74</v>
      </c>
      <c r="BC47" s="69" t="s">
        <v>320</v>
      </c>
      <c r="BD47" s="69">
        <v>50</v>
      </c>
      <c r="BE47" s="69" t="s">
        <v>277</v>
      </c>
      <c r="BF47" s="70">
        <v>53</v>
      </c>
      <c r="BG47" s="71" t="s">
        <v>409</v>
      </c>
      <c r="BH47" s="70">
        <v>45</v>
      </c>
      <c r="BI47" s="73" t="s">
        <v>421</v>
      </c>
      <c r="BJ47" s="71">
        <v>1</v>
      </c>
      <c r="BK47" s="61" t="s">
        <v>421</v>
      </c>
      <c r="BL47" s="75">
        <v>0</v>
      </c>
      <c r="BM47" s="73" t="s">
        <v>416</v>
      </c>
      <c r="BN47" s="71">
        <v>2</v>
      </c>
      <c r="BO47" s="70" t="s">
        <v>408</v>
      </c>
      <c r="BP47" s="73">
        <v>31</v>
      </c>
      <c r="BQ47" s="73" t="s">
        <v>275</v>
      </c>
      <c r="BR47" s="71">
        <v>5</v>
      </c>
      <c r="BS47" s="69" t="s">
        <v>168</v>
      </c>
      <c r="BT47" s="70">
        <v>34</v>
      </c>
      <c r="BU47" s="73" t="s">
        <v>413</v>
      </c>
      <c r="BV47" s="71">
        <v>30</v>
      </c>
      <c r="BW47" s="70" t="s">
        <v>412</v>
      </c>
      <c r="BX47" s="73">
        <v>1</v>
      </c>
      <c r="BY47" s="71" t="s">
        <v>424</v>
      </c>
      <c r="BZ47" s="332">
        <v>0.42</v>
      </c>
      <c r="CA47" s="69" t="s">
        <v>414</v>
      </c>
      <c r="CB47" s="332">
        <v>0.50600000000000001</v>
      </c>
      <c r="CC47" s="71" t="s">
        <v>420</v>
      </c>
      <c r="CD47" s="332">
        <v>0.48</v>
      </c>
      <c r="CE47" s="71" t="s">
        <v>414</v>
      </c>
      <c r="CF47" s="319">
        <v>0.98</v>
      </c>
      <c r="CG47" s="69" t="s">
        <v>420</v>
      </c>
      <c r="CH47" s="398">
        <v>39.21</v>
      </c>
      <c r="CI47" s="70" t="s">
        <v>409</v>
      </c>
      <c r="CJ47" s="74">
        <v>6.22</v>
      </c>
      <c r="CK47" s="73" t="s">
        <v>432</v>
      </c>
      <c r="CL47" s="323">
        <v>38.35</v>
      </c>
      <c r="CM47" s="284"/>
      <c r="CN47" s="70" t="s">
        <v>280</v>
      </c>
      <c r="CO47" s="73">
        <v>182</v>
      </c>
    </row>
    <row r="48" spans="1:219" x14ac:dyDescent="0.3">
      <c r="AD48" s="25"/>
      <c r="AE48" s="25"/>
      <c r="AJ48" s="69">
        <v>5</v>
      </c>
      <c r="AK48" s="70" t="s">
        <v>414</v>
      </c>
      <c r="AL48" s="71">
        <v>56</v>
      </c>
      <c r="AM48" s="70" t="s">
        <v>68</v>
      </c>
      <c r="AN48" s="73">
        <v>170</v>
      </c>
      <c r="AO48" s="73" t="s">
        <v>280</v>
      </c>
      <c r="AP48" s="73">
        <v>127</v>
      </c>
      <c r="AQ48" s="73" t="s">
        <v>420</v>
      </c>
      <c r="AR48" s="71">
        <v>56</v>
      </c>
      <c r="AS48" s="69" t="s">
        <v>424</v>
      </c>
      <c r="AT48" s="70">
        <v>47</v>
      </c>
      <c r="AU48" s="73" t="s">
        <v>423</v>
      </c>
      <c r="AV48" s="73">
        <v>8</v>
      </c>
      <c r="AW48" s="70" t="s">
        <v>408</v>
      </c>
      <c r="AX48" s="71">
        <v>2</v>
      </c>
      <c r="AY48" s="1" t="s">
        <v>412</v>
      </c>
      <c r="AZ48" s="1">
        <v>0</v>
      </c>
      <c r="BA48" s="70" t="s">
        <v>414</v>
      </c>
      <c r="BB48" s="73">
        <v>67</v>
      </c>
      <c r="BC48" s="69" t="s">
        <v>114</v>
      </c>
      <c r="BD48" s="69">
        <v>46</v>
      </c>
      <c r="BE48" s="69" t="s">
        <v>542</v>
      </c>
      <c r="BF48" s="70">
        <v>51</v>
      </c>
      <c r="BG48" s="71" t="s">
        <v>411</v>
      </c>
      <c r="BH48" s="70">
        <v>30</v>
      </c>
      <c r="BI48" s="73" t="s">
        <v>408</v>
      </c>
      <c r="BJ48" s="71">
        <v>1</v>
      </c>
      <c r="BK48" s="61" t="s">
        <v>420</v>
      </c>
      <c r="BL48" s="75">
        <v>0</v>
      </c>
      <c r="BM48" s="73" t="s">
        <v>410</v>
      </c>
      <c r="BN48" s="71">
        <v>2</v>
      </c>
      <c r="BO48" s="70" t="s">
        <v>489</v>
      </c>
      <c r="BP48" s="73">
        <v>23</v>
      </c>
      <c r="BQ48" s="73" t="s">
        <v>436</v>
      </c>
      <c r="BR48" s="71">
        <v>4</v>
      </c>
      <c r="BS48" s="69" t="s">
        <v>413</v>
      </c>
      <c r="BT48" s="70">
        <v>28</v>
      </c>
      <c r="BU48" s="73" t="s">
        <v>482</v>
      </c>
      <c r="BV48" s="71">
        <v>28</v>
      </c>
      <c r="BW48" s="70" t="s">
        <v>407</v>
      </c>
      <c r="BX48" s="73">
        <v>1</v>
      </c>
      <c r="BY48" s="71" t="s">
        <v>583</v>
      </c>
      <c r="BZ48" s="332">
        <v>0.41599999999999998</v>
      </c>
      <c r="CA48" s="69" t="s">
        <v>469</v>
      </c>
      <c r="CB48" s="332">
        <v>0.496</v>
      </c>
      <c r="CC48" s="71" t="s">
        <v>414</v>
      </c>
      <c r="CD48" s="332">
        <v>0.47399999999999998</v>
      </c>
      <c r="CE48" s="71" t="s">
        <v>423</v>
      </c>
      <c r="CF48" s="319">
        <v>0.96299999999999997</v>
      </c>
      <c r="CG48" s="69" t="s">
        <v>414</v>
      </c>
      <c r="CH48" s="398">
        <v>38.229999999999997</v>
      </c>
      <c r="CI48" s="61" t="s">
        <v>428</v>
      </c>
      <c r="CJ48" s="127">
        <v>5.4</v>
      </c>
      <c r="CK48" s="73" t="s">
        <v>414</v>
      </c>
      <c r="CL48" s="323">
        <v>37.22</v>
      </c>
      <c r="CM48" s="284"/>
      <c r="CN48" s="70" t="s">
        <v>68</v>
      </c>
      <c r="CO48" s="73">
        <v>170</v>
      </c>
    </row>
    <row r="49" spans="21:113" x14ac:dyDescent="0.3">
      <c r="AD49" s="25"/>
      <c r="AE49" s="25"/>
      <c r="AJ49" s="69">
        <v>6</v>
      </c>
      <c r="AK49" s="70" t="s">
        <v>282</v>
      </c>
      <c r="AL49" s="71">
        <v>52</v>
      </c>
      <c r="AM49" s="70" t="s">
        <v>53</v>
      </c>
      <c r="AN49" s="73">
        <v>136</v>
      </c>
      <c r="AO49" s="73" t="s">
        <v>424</v>
      </c>
      <c r="AP49" s="73">
        <v>117</v>
      </c>
      <c r="AQ49" s="73" t="s">
        <v>424</v>
      </c>
      <c r="AR49" s="71">
        <v>48</v>
      </c>
      <c r="AS49" s="69" t="s">
        <v>420</v>
      </c>
      <c r="AT49" s="70">
        <v>41</v>
      </c>
      <c r="AU49" s="73" t="s">
        <v>411</v>
      </c>
      <c r="AV49" s="73">
        <v>8</v>
      </c>
      <c r="AW49" s="70" t="s">
        <v>321</v>
      </c>
      <c r="AX49" s="71">
        <v>2</v>
      </c>
      <c r="AY49" s="1" t="s">
        <v>416</v>
      </c>
      <c r="AZ49" s="1">
        <v>0</v>
      </c>
      <c r="BA49" s="70" t="s">
        <v>411</v>
      </c>
      <c r="BB49" s="73">
        <v>60</v>
      </c>
      <c r="BC49" s="69" t="s">
        <v>423</v>
      </c>
      <c r="BD49" s="69">
        <v>32</v>
      </c>
      <c r="BE49" s="69" t="s">
        <v>414</v>
      </c>
      <c r="BF49" s="70">
        <v>44</v>
      </c>
      <c r="BG49" s="71" t="s">
        <v>420</v>
      </c>
      <c r="BH49" s="70">
        <v>28</v>
      </c>
      <c r="BI49" s="73" t="s">
        <v>423</v>
      </c>
      <c r="BJ49" s="71">
        <v>1</v>
      </c>
      <c r="BK49" s="61" t="s">
        <v>408</v>
      </c>
      <c r="BL49" s="75">
        <v>0</v>
      </c>
      <c r="BM49" s="73" t="s">
        <v>423</v>
      </c>
      <c r="BN49" s="71">
        <v>2</v>
      </c>
      <c r="BO49" s="70" t="s">
        <v>488</v>
      </c>
      <c r="BP49" s="73">
        <v>20</v>
      </c>
      <c r="BQ49" s="73" t="s">
        <v>423</v>
      </c>
      <c r="BR49" s="71">
        <v>4</v>
      </c>
      <c r="BS49" s="69" t="s">
        <v>522</v>
      </c>
      <c r="BT49" s="70">
        <v>27</v>
      </c>
      <c r="BU49" s="73" t="s">
        <v>39</v>
      </c>
      <c r="BV49" s="71">
        <v>26</v>
      </c>
      <c r="BW49" s="70" t="s">
        <v>408</v>
      </c>
      <c r="BX49" s="73">
        <v>1</v>
      </c>
      <c r="BY49" s="71" t="s">
        <v>582</v>
      </c>
      <c r="BZ49" s="332">
        <v>0.40200000000000002</v>
      </c>
      <c r="CA49" s="69" t="s">
        <v>3</v>
      </c>
      <c r="CB49" s="332">
        <v>0.48</v>
      </c>
      <c r="CC49" s="71" t="s">
        <v>423</v>
      </c>
      <c r="CD49" s="332">
        <v>0.46700000000000003</v>
      </c>
      <c r="CE49" s="71" t="s">
        <v>420</v>
      </c>
      <c r="CF49" s="319">
        <v>0.95299999999999996</v>
      </c>
      <c r="CG49" s="69" t="s">
        <v>171</v>
      </c>
      <c r="CH49" s="398">
        <v>35.229999999999997</v>
      </c>
      <c r="CI49" s="61" t="s">
        <v>426</v>
      </c>
      <c r="CJ49" s="127">
        <v>5.27</v>
      </c>
      <c r="CK49" s="73" t="s">
        <v>424</v>
      </c>
      <c r="CL49" s="323">
        <v>30.61</v>
      </c>
      <c r="CM49" s="284"/>
      <c r="CN49" s="70" t="s">
        <v>53</v>
      </c>
      <c r="CO49" s="73">
        <v>136</v>
      </c>
    </row>
    <row r="50" spans="21:113" x14ac:dyDescent="0.3">
      <c r="AD50" s="25"/>
      <c r="AE50" s="25"/>
      <c r="AJ50" s="69">
        <v>7</v>
      </c>
      <c r="AK50" s="70" t="s">
        <v>434</v>
      </c>
      <c r="AL50" s="71">
        <v>48</v>
      </c>
      <c r="AM50" s="70" t="s">
        <v>3</v>
      </c>
      <c r="AN50" s="73">
        <v>131</v>
      </c>
      <c r="AO50" s="73" t="s">
        <v>423</v>
      </c>
      <c r="AP50" s="73">
        <v>110</v>
      </c>
      <c r="AQ50" s="73" t="s">
        <v>577</v>
      </c>
      <c r="AR50" s="71">
        <v>48</v>
      </c>
      <c r="AS50" s="69" t="s">
        <v>423</v>
      </c>
      <c r="AT50" s="70">
        <v>36</v>
      </c>
      <c r="AU50" s="73" t="s">
        <v>538</v>
      </c>
      <c r="AV50" s="305">
        <v>8</v>
      </c>
      <c r="AW50" s="70" t="s">
        <v>411</v>
      </c>
      <c r="AX50" s="71">
        <v>2</v>
      </c>
      <c r="AY50" s="1" t="s">
        <v>418</v>
      </c>
      <c r="AZ50" s="1">
        <v>0</v>
      </c>
      <c r="BA50" s="70" t="s">
        <v>423</v>
      </c>
      <c r="BB50" s="73">
        <v>52</v>
      </c>
      <c r="BC50" s="69" t="s">
        <v>429</v>
      </c>
      <c r="BD50" s="69">
        <v>31</v>
      </c>
      <c r="BE50" s="69" t="s">
        <v>424</v>
      </c>
      <c r="BF50" s="70">
        <v>41</v>
      </c>
      <c r="BG50" s="71" t="s">
        <v>481</v>
      </c>
      <c r="BH50" s="70">
        <v>28</v>
      </c>
      <c r="BI50" s="73" t="s">
        <v>419</v>
      </c>
      <c r="BJ50" s="71">
        <v>1</v>
      </c>
      <c r="BK50" s="61" t="s">
        <v>407</v>
      </c>
      <c r="BL50" s="75">
        <v>0</v>
      </c>
      <c r="BM50" s="73" t="s">
        <v>158</v>
      </c>
      <c r="BN50" s="71">
        <v>2</v>
      </c>
      <c r="BO50" s="70" t="s">
        <v>423</v>
      </c>
      <c r="BP50" s="73">
        <v>18</v>
      </c>
      <c r="BQ50" s="73" t="s">
        <v>414</v>
      </c>
      <c r="BR50" s="71">
        <v>4</v>
      </c>
      <c r="BS50" s="69" t="s">
        <v>578</v>
      </c>
      <c r="BT50" s="70">
        <v>22</v>
      </c>
      <c r="BU50" s="375" t="s">
        <v>491</v>
      </c>
      <c r="BV50" s="71">
        <v>25</v>
      </c>
      <c r="BW50" s="70" t="s">
        <v>321</v>
      </c>
      <c r="BX50" s="73">
        <v>1</v>
      </c>
      <c r="BY50" s="71" t="s">
        <v>420</v>
      </c>
      <c r="BZ50" s="332">
        <v>0.36199999999999999</v>
      </c>
      <c r="CA50" s="69" t="s">
        <v>420</v>
      </c>
      <c r="CB50" s="332">
        <v>0.47299999999999998</v>
      </c>
      <c r="CC50" s="71" t="s">
        <v>424</v>
      </c>
      <c r="CD50" s="332">
        <v>0.42899999999999999</v>
      </c>
      <c r="CE50" s="71" t="s">
        <v>424</v>
      </c>
      <c r="CF50" s="319">
        <v>0.90900000000000003</v>
      </c>
      <c r="CG50" s="296" t="s">
        <v>411</v>
      </c>
      <c r="CH50" s="399">
        <v>31.51</v>
      </c>
      <c r="CI50" s="70" t="s">
        <v>407</v>
      </c>
      <c r="CJ50" s="74">
        <v>4.45</v>
      </c>
      <c r="CK50" s="73" t="s">
        <v>423</v>
      </c>
      <c r="CL50" s="323">
        <v>29.3</v>
      </c>
      <c r="CM50" s="284"/>
      <c r="CN50" s="70" t="s">
        <v>3</v>
      </c>
      <c r="CO50" s="73">
        <v>131</v>
      </c>
    </row>
    <row r="51" spans="21:113" ht="17.25" thickBot="1" x14ac:dyDescent="0.35">
      <c r="AD51" s="25"/>
      <c r="AE51" s="25"/>
      <c r="AJ51" s="69">
        <v>8</v>
      </c>
      <c r="AK51" s="70" t="s">
        <v>468</v>
      </c>
      <c r="AL51" s="71">
        <v>44</v>
      </c>
      <c r="AM51" s="70" t="s">
        <v>73</v>
      </c>
      <c r="AN51" s="73">
        <v>131</v>
      </c>
      <c r="AO51" s="73" t="s">
        <v>492</v>
      </c>
      <c r="AP51" s="73">
        <v>109</v>
      </c>
      <c r="AQ51" s="73" t="s">
        <v>576</v>
      </c>
      <c r="AR51" s="71">
        <v>44</v>
      </c>
      <c r="AS51" s="69" t="s">
        <v>411</v>
      </c>
      <c r="AT51" s="70">
        <v>38</v>
      </c>
      <c r="AU51" s="73" t="s">
        <v>416</v>
      </c>
      <c r="AV51" s="73">
        <v>6</v>
      </c>
      <c r="AW51" s="70" t="s">
        <v>435</v>
      </c>
      <c r="AX51" s="71">
        <v>1</v>
      </c>
      <c r="AY51" s="1" t="s">
        <v>422</v>
      </c>
      <c r="AZ51" s="1">
        <v>0</v>
      </c>
      <c r="BA51" s="70" t="s">
        <v>424</v>
      </c>
      <c r="BB51" s="73">
        <v>49</v>
      </c>
      <c r="BC51" s="69" t="s">
        <v>435</v>
      </c>
      <c r="BD51" s="69">
        <v>27</v>
      </c>
      <c r="BE51" s="69" t="s">
        <v>423</v>
      </c>
      <c r="BF51" s="70">
        <v>41</v>
      </c>
      <c r="BG51" s="71" t="s">
        <v>423</v>
      </c>
      <c r="BH51" s="70">
        <v>26</v>
      </c>
      <c r="BI51" s="73" t="s">
        <v>430</v>
      </c>
      <c r="BJ51" s="71">
        <v>1</v>
      </c>
      <c r="BK51" s="61" t="s">
        <v>315</v>
      </c>
      <c r="BL51" s="75">
        <v>0</v>
      </c>
      <c r="BM51" s="73" t="s">
        <v>414</v>
      </c>
      <c r="BN51" s="71">
        <v>2</v>
      </c>
      <c r="BO51" s="70" t="s">
        <v>413</v>
      </c>
      <c r="BP51" s="73">
        <v>18</v>
      </c>
      <c r="BQ51" s="73" t="s">
        <v>299</v>
      </c>
      <c r="BR51" s="71">
        <v>4</v>
      </c>
      <c r="BS51" s="69" t="s">
        <v>53</v>
      </c>
      <c r="BT51" s="70">
        <v>22</v>
      </c>
      <c r="BU51" s="73" t="s">
        <v>254</v>
      </c>
      <c r="BV51" s="71">
        <v>22</v>
      </c>
      <c r="BW51" s="70" t="s">
        <v>424</v>
      </c>
      <c r="BX51" s="73">
        <v>1</v>
      </c>
      <c r="BY51" s="136" t="s">
        <v>418</v>
      </c>
      <c r="BZ51" s="333">
        <v>0.19</v>
      </c>
      <c r="CA51" s="133" t="s">
        <v>418</v>
      </c>
      <c r="CB51" s="333">
        <v>0.315</v>
      </c>
      <c r="CC51" s="136" t="s">
        <v>275</v>
      </c>
      <c r="CD51" s="333">
        <v>0.21</v>
      </c>
      <c r="CE51" s="136" t="s">
        <v>418</v>
      </c>
      <c r="CF51" s="320">
        <v>0.52400000000000002</v>
      </c>
      <c r="CG51" s="69" t="s">
        <v>475</v>
      </c>
      <c r="CH51" s="398">
        <v>30.86</v>
      </c>
      <c r="CI51" s="70" t="s">
        <v>408</v>
      </c>
      <c r="CJ51" s="74">
        <v>4.21</v>
      </c>
      <c r="CK51" s="75" t="s">
        <v>411</v>
      </c>
      <c r="CL51" s="324">
        <v>28.99</v>
      </c>
      <c r="CM51" s="284"/>
      <c r="CN51" s="70" t="s">
        <v>73</v>
      </c>
      <c r="CO51" s="73">
        <v>131</v>
      </c>
    </row>
    <row r="52" spans="21:113" x14ac:dyDescent="0.3">
      <c r="AJ52" s="69">
        <v>9</v>
      </c>
      <c r="AK52" s="70" t="s">
        <v>648</v>
      </c>
      <c r="AL52" s="71">
        <v>36</v>
      </c>
      <c r="AM52" s="70" t="s">
        <v>66</v>
      </c>
      <c r="AN52" s="73">
        <v>118</v>
      </c>
      <c r="AO52" s="73" t="s">
        <v>493</v>
      </c>
      <c r="AP52" s="73">
        <v>103</v>
      </c>
      <c r="AQ52" s="73" t="s">
        <v>506</v>
      </c>
      <c r="AR52" s="71">
        <v>32</v>
      </c>
      <c r="AS52" s="69" t="s">
        <v>536</v>
      </c>
      <c r="AT52" s="70">
        <v>26</v>
      </c>
      <c r="AU52" s="73" t="s">
        <v>435</v>
      </c>
      <c r="AV52" s="73">
        <v>6</v>
      </c>
      <c r="AW52" s="70" t="s">
        <v>419</v>
      </c>
      <c r="AX52" s="71">
        <v>1</v>
      </c>
      <c r="AY52" s="1" t="s">
        <v>322</v>
      </c>
      <c r="AZ52" s="1">
        <v>0</v>
      </c>
      <c r="BA52" s="70" t="s">
        <v>539</v>
      </c>
      <c r="BB52" s="73">
        <v>40</v>
      </c>
      <c r="BC52" s="305" t="s">
        <v>571</v>
      </c>
      <c r="BD52" s="69">
        <v>25</v>
      </c>
      <c r="BE52" s="69" t="s">
        <v>621</v>
      </c>
      <c r="BF52" s="70">
        <v>29</v>
      </c>
      <c r="BG52" s="71" t="s">
        <v>275</v>
      </c>
      <c r="BH52" s="70">
        <v>25</v>
      </c>
      <c r="BI52" s="73" t="s">
        <v>431</v>
      </c>
      <c r="BJ52" s="71">
        <v>1</v>
      </c>
      <c r="BK52" s="61" t="s">
        <v>409</v>
      </c>
      <c r="BL52" s="75">
        <v>0</v>
      </c>
      <c r="BM52" s="73" t="s">
        <v>407</v>
      </c>
      <c r="BN52" s="71">
        <v>1</v>
      </c>
      <c r="BO52" s="70" t="s">
        <v>657</v>
      </c>
      <c r="BP52" s="73">
        <v>17</v>
      </c>
      <c r="BQ52" s="73" t="s">
        <v>168</v>
      </c>
      <c r="BR52" s="71">
        <v>3</v>
      </c>
      <c r="BS52" s="69" t="s">
        <v>430</v>
      </c>
      <c r="BT52" s="70">
        <v>22</v>
      </c>
      <c r="BU52" s="73" t="s">
        <v>580</v>
      </c>
      <c r="BV52" s="71">
        <v>19</v>
      </c>
      <c r="BW52" s="70" t="s">
        <v>282</v>
      </c>
      <c r="BX52" s="73">
        <v>1</v>
      </c>
      <c r="BY52" s="330" t="s">
        <v>415</v>
      </c>
      <c r="BZ52" s="334">
        <v>1</v>
      </c>
      <c r="CA52" s="311" t="s">
        <v>415</v>
      </c>
      <c r="CB52" s="334">
        <v>1</v>
      </c>
      <c r="CC52" s="353" t="s">
        <v>415</v>
      </c>
      <c r="CD52" s="352">
        <v>2</v>
      </c>
      <c r="CE52" s="353" t="s">
        <v>313</v>
      </c>
      <c r="CF52" s="393">
        <v>3</v>
      </c>
      <c r="CG52" s="1" t="s">
        <v>585</v>
      </c>
      <c r="CH52" s="400">
        <v>19.489999999999998</v>
      </c>
      <c r="CI52" s="404" t="s">
        <v>437</v>
      </c>
      <c r="CJ52" s="329">
        <v>4.09</v>
      </c>
      <c r="CK52" s="9" t="s">
        <v>435</v>
      </c>
      <c r="CL52" s="101">
        <v>19.059999999999999</v>
      </c>
      <c r="CM52" s="284"/>
      <c r="CN52" s="70" t="s">
        <v>66</v>
      </c>
      <c r="CO52" s="73">
        <v>118</v>
      </c>
    </row>
    <row r="53" spans="21:113" ht="17.25" thickBot="1" x14ac:dyDescent="0.35">
      <c r="AD53" s="25"/>
      <c r="AE53" s="25"/>
      <c r="AJ53" s="133">
        <v>10</v>
      </c>
      <c r="AK53" s="134" t="s">
        <v>649</v>
      </c>
      <c r="AL53" s="136">
        <v>35</v>
      </c>
      <c r="AM53" s="70" t="s">
        <v>310</v>
      </c>
      <c r="AN53" s="73">
        <v>106</v>
      </c>
      <c r="AO53" s="135" t="s">
        <v>532</v>
      </c>
      <c r="AP53" s="135">
        <v>85</v>
      </c>
      <c r="AQ53" s="73" t="s">
        <v>554</v>
      </c>
      <c r="AR53" s="136">
        <v>31</v>
      </c>
      <c r="AS53" s="133" t="s">
        <v>652</v>
      </c>
      <c r="AT53" s="134">
        <v>24</v>
      </c>
      <c r="AU53" s="73" t="s">
        <v>410</v>
      </c>
      <c r="AV53" s="73">
        <v>5</v>
      </c>
      <c r="AW53" s="5" t="s">
        <v>101</v>
      </c>
      <c r="AX53" s="285">
        <v>0</v>
      </c>
      <c r="AY53" s="296" t="s">
        <v>420</v>
      </c>
      <c r="AZ53" s="296">
        <v>0</v>
      </c>
      <c r="BA53" s="70" t="s">
        <v>540</v>
      </c>
      <c r="BB53" s="73">
        <v>39</v>
      </c>
      <c r="BC53" s="133" t="s">
        <v>3</v>
      </c>
      <c r="BD53" s="133">
        <v>25</v>
      </c>
      <c r="BE53" s="133" t="s">
        <v>654</v>
      </c>
      <c r="BF53" s="134">
        <v>29</v>
      </c>
      <c r="BG53" s="71" t="s">
        <v>656</v>
      </c>
      <c r="BH53" s="70">
        <v>22</v>
      </c>
      <c r="BI53" s="73" t="s">
        <v>413</v>
      </c>
      <c r="BJ53" s="71">
        <v>1</v>
      </c>
      <c r="BK53" s="61" t="s">
        <v>415</v>
      </c>
      <c r="BL53" s="75">
        <v>0</v>
      </c>
      <c r="BM53" s="9" t="s">
        <v>412</v>
      </c>
      <c r="BN53" s="304">
        <v>0</v>
      </c>
      <c r="BO53" s="134" t="s">
        <v>658</v>
      </c>
      <c r="BP53" s="135">
        <v>17</v>
      </c>
      <c r="BQ53" s="73" t="s">
        <v>411</v>
      </c>
      <c r="BR53" s="71">
        <v>3</v>
      </c>
      <c r="BS53" s="133" t="s">
        <v>310</v>
      </c>
      <c r="BT53" s="134">
        <v>21</v>
      </c>
      <c r="BU53" s="73" t="s">
        <v>581</v>
      </c>
      <c r="BV53" s="71">
        <v>18</v>
      </c>
      <c r="BW53" s="70" t="s">
        <v>411</v>
      </c>
      <c r="BX53" s="73">
        <v>1</v>
      </c>
      <c r="BY53" s="311" t="s">
        <v>419</v>
      </c>
      <c r="BZ53" s="335">
        <v>0.7</v>
      </c>
      <c r="CA53" s="1" t="s">
        <v>502</v>
      </c>
      <c r="CB53" s="317">
        <v>0.77800000000000002</v>
      </c>
      <c r="CC53" s="210" t="s">
        <v>326</v>
      </c>
      <c r="CD53" s="137">
        <v>1.3</v>
      </c>
      <c r="CE53" s="210" t="s">
        <v>419</v>
      </c>
      <c r="CF53" s="394">
        <v>2.0272727272727273</v>
      </c>
      <c r="CG53" s="327" t="s">
        <v>584</v>
      </c>
      <c r="CH53" s="401">
        <v>19.28</v>
      </c>
      <c r="CI53" s="405" t="s">
        <v>425</v>
      </c>
      <c r="CJ53" s="250">
        <v>4.0599999999999996</v>
      </c>
      <c r="CK53" s="10" t="s">
        <v>436</v>
      </c>
      <c r="CL53" s="325">
        <v>17.86</v>
      </c>
      <c r="CM53" s="284"/>
      <c r="CN53" s="70" t="s">
        <v>310</v>
      </c>
      <c r="CO53" s="73">
        <v>106</v>
      </c>
    </row>
    <row r="54" spans="21:113" s="96" customFormat="1" ht="17.25" thickBot="1" x14ac:dyDescent="0.35">
      <c r="U54" s="215"/>
      <c r="AD54" s="25"/>
      <c r="AE54" s="25"/>
      <c r="AJ54" s="2">
        <v>11</v>
      </c>
      <c r="AK54" s="61" t="s">
        <v>650</v>
      </c>
      <c r="AL54" s="18">
        <v>34</v>
      </c>
      <c r="AM54" s="350" t="s">
        <v>611</v>
      </c>
      <c r="AN54" s="130">
        <v>95</v>
      </c>
      <c r="AO54" s="303" t="s">
        <v>612</v>
      </c>
      <c r="AP54" s="96">
        <v>83</v>
      </c>
      <c r="AQ54" s="2" t="s">
        <v>555</v>
      </c>
      <c r="AR54" s="340">
        <v>24</v>
      </c>
      <c r="AS54" s="296" t="s">
        <v>653</v>
      </c>
      <c r="AT54" s="61">
        <v>23</v>
      </c>
      <c r="AU54" s="135" t="s">
        <v>426</v>
      </c>
      <c r="AV54" s="73">
        <v>5</v>
      </c>
      <c r="AW54" s="5" t="s">
        <v>418</v>
      </c>
      <c r="AX54" s="285">
        <v>0</v>
      </c>
      <c r="AY54" s="296" t="s">
        <v>320</v>
      </c>
      <c r="AZ54" s="296">
        <v>0</v>
      </c>
      <c r="BA54" s="130" t="s">
        <v>310</v>
      </c>
      <c r="BB54" s="132">
        <v>34</v>
      </c>
      <c r="BC54" s="18" t="s">
        <v>570</v>
      </c>
      <c r="BD54" s="350">
        <v>24</v>
      </c>
      <c r="BE54" s="296" t="s">
        <v>655</v>
      </c>
      <c r="BF54" s="61">
        <v>28</v>
      </c>
      <c r="BG54" s="132" t="s">
        <v>544</v>
      </c>
      <c r="BH54" s="132">
        <v>16</v>
      </c>
      <c r="BI54" s="299" t="s">
        <v>409</v>
      </c>
      <c r="BJ54" s="309">
        <v>0</v>
      </c>
      <c r="BK54" s="5" t="s">
        <v>436</v>
      </c>
      <c r="BL54" s="9">
        <v>0</v>
      </c>
      <c r="BM54" s="9" t="s">
        <v>418</v>
      </c>
      <c r="BN54" s="304">
        <v>0</v>
      </c>
      <c r="BO54" s="130" t="s">
        <v>622</v>
      </c>
      <c r="BP54" s="132">
        <v>15</v>
      </c>
      <c r="BQ54" s="73" t="s">
        <v>541</v>
      </c>
      <c r="BR54" s="71">
        <v>3</v>
      </c>
      <c r="BS54" s="296" t="s">
        <v>660</v>
      </c>
      <c r="BT54" s="61">
        <v>20</v>
      </c>
      <c r="BU54" s="132" t="s">
        <v>527</v>
      </c>
      <c r="BV54" s="209">
        <v>17</v>
      </c>
      <c r="BW54" s="70" t="s">
        <v>433</v>
      </c>
      <c r="BX54" s="73">
        <v>1</v>
      </c>
      <c r="BY54" s="311" t="s">
        <v>426</v>
      </c>
      <c r="BZ54" s="335">
        <v>0.68571428571428572</v>
      </c>
      <c r="CA54" s="311" t="s">
        <v>326</v>
      </c>
      <c r="CB54" s="335">
        <v>0.72727272727272729</v>
      </c>
      <c r="CC54" s="210" t="s">
        <v>426</v>
      </c>
      <c r="CD54" s="137">
        <v>0.91428571428571426</v>
      </c>
      <c r="CE54" s="210" t="s">
        <v>158</v>
      </c>
      <c r="CF54" s="394">
        <v>1.5809523809523809</v>
      </c>
      <c r="CG54" s="6" t="s">
        <v>586</v>
      </c>
      <c r="CH54" s="402">
        <v>18.64</v>
      </c>
      <c r="CI54" s="70" t="s">
        <v>424</v>
      </c>
      <c r="CJ54" s="74">
        <v>3.99</v>
      </c>
      <c r="CK54" s="75" t="s">
        <v>497</v>
      </c>
      <c r="CL54" s="324">
        <v>17.850000000000001</v>
      </c>
      <c r="CM54" s="284"/>
      <c r="CN54" s="350" t="s">
        <v>254</v>
      </c>
      <c r="CO54" s="130">
        <v>95</v>
      </c>
      <c r="CP54" s="4"/>
    </row>
    <row r="55" spans="21:113" ht="17.25" thickBot="1" x14ac:dyDescent="0.35">
      <c r="AJ55" s="1">
        <v>12</v>
      </c>
      <c r="AK55" s="61" t="s">
        <v>651</v>
      </c>
      <c r="AL55" s="18">
        <v>33</v>
      </c>
      <c r="AM55" s="296" t="s">
        <v>574</v>
      </c>
      <c r="AN55" s="61">
        <v>92</v>
      </c>
      <c r="AO55" s="9" t="s">
        <v>613</v>
      </c>
      <c r="AP55" s="9">
        <v>74</v>
      </c>
      <c r="AQ55" s="1" t="s">
        <v>534</v>
      </c>
      <c r="AR55" s="5">
        <v>23</v>
      </c>
      <c r="AS55" s="1" t="s">
        <v>511</v>
      </c>
      <c r="AT55" s="5">
        <v>19</v>
      </c>
      <c r="AU55" s="130" t="s">
        <v>568</v>
      </c>
      <c r="AV55" s="132">
        <v>4</v>
      </c>
      <c r="AW55" s="5" t="s">
        <v>323</v>
      </c>
      <c r="AX55" s="285">
        <v>0</v>
      </c>
      <c r="AY55" s="1" t="s">
        <v>435</v>
      </c>
      <c r="AZ55" s="1">
        <v>0</v>
      </c>
      <c r="BA55" s="61" t="s">
        <v>614</v>
      </c>
      <c r="BB55" s="75">
        <v>32</v>
      </c>
      <c r="BC55" s="9" t="s">
        <v>441</v>
      </c>
      <c r="BD55" s="304">
        <v>21</v>
      </c>
      <c r="BE55" s="61" t="s">
        <v>297</v>
      </c>
      <c r="BF55" s="18">
        <v>26</v>
      </c>
      <c r="BG55" s="5" t="s">
        <v>543</v>
      </c>
      <c r="BH55" s="9">
        <v>14</v>
      </c>
      <c r="BI55" s="9" t="s">
        <v>420</v>
      </c>
      <c r="BJ55" s="304">
        <v>0</v>
      </c>
      <c r="BK55" s="5" t="s">
        <v>171</v>
      </c>
      <c r="BL55" s="9">
        <v>0</v>
      </c>
      <c r="BM55" s="9" t="s">
        <v>422</v>
      </c>
      <c r="BN55" s="304">
        <v>0</v>
      </c>
      <c r="BO55" s="61" t="s">
        <v>490</v>
      </c>
      <c r="BP55" s="75">
        <v>11</v>
      </c>
      <c r="BQ55" s="73" t="s">
        <v>441</v>
      </c>
      <c r="BR55" s="73">
        <v>3</v>
      </c>
      <c r="BS55" s="9" t="s">
        <v>615</v>
      </c>
      <c r="BT55" s="9">
        <v>15</v>
      </c>
      <c r="BU55" s="61" t="s">
        <v>523</v>
      </c>
      <c r="BV55" s="18">
        <v>13</v>
      </c>
      <c r="BW55" s="134" t="s">
        <v>431</v>
      </c>
      <c r="BX55" s="135">
        <v>1</v>
      </c>
      <c r="BY55" s="296" t="s">
        <v>411</v>
      </c>
      <c r="BZ55" s="336">
        <v>0.46400000000000002</v>
      </c>
      <c r="CA55" s="311" t="s">
        <v>426</v>
      </c>
      <c r="CB55" s="335">
        <v>0.66666666666666663</v>
      </c>
      <c r="CC55" s="210" t="s">
        <v>425</v>
      </c>
      <c r="CD55" s="137">
        <v>0.67600000000000005</v>
      </c>
      <c r="CE55" s="78" t="s">
        <v>437</v>
      </c>
      <c r="CF55" s="65">
        <v>1.2363636363636363</v>
      </c>
      <c r="CG55" s="67" t="s">
        <v>426</v>
      </c>
      <c r="CH55" s="279">
        <v>17.87</v>
      </c>
      <c r="CI55" s="61" t="s">
        <v>411</v>
      </c>
      <c r="CJ55" s="127">
        <v>3.89</v>
      </c>
      <c r="CK55" s="75" t="s">
        <v>158</v>
      </c>
      <c r="CL55" s="324">
        <v>16.79</v>
      </c>
      <c r="CM55" s="284"/>
      <c r="CN55" s="296" t="s">
        <v>321</v>
      </c>
      <c r="CO55" s="61">
        <v>92</v>
      </c>
    </row>
    <row r="56" spans="21:113" ht="17.25" thickBot="1" x14ac:dyDescent="0.35">
      <c r="AJ56" s="1">
        <v>13</v>
      </c>
      <c r="AK56" s="61" t="s">
        <v>573</v>
      </c>
      <c r="AL56" s="18">
        <v>32</v>
      </c>
      <c r="AM56" s="296" t="s">
        <v>575</v>
      </c>
      <c r="AN56" s="61">
        <v>92</v>
      </c>
      <c r="AO56" s="9" t="s">
        <v>435</v>
      </c>
      <c r="AP56" s="9">
        <v>70</v>
      </c>
      <c r="AQ56" s="296" t="s">
        <v>494</v>
      </c>
      <c r="AR56" s="61">
        <v>22</v>
      </c>
      <c r="AS56" s="1" t="s">
        <v>158</v>
      </c>
      <c r="AT56" s="5">
        <v>18</v>
      </c>
      <c r="AU56" s="5" t="s">
        <v>569</v>
      </c>
      <c r="AV56" s="9">
        <v>4</v>
      </c>
      <c r="AW56" s="5" t="s">
        <v>410</v>
      </c>
      <c r="AX56" s="284">
        <v>0</v>
      </c>
      <c r="AY56" s="1" t="s">
        <v>441</v>
      </c>
      <c r="AZ56" s="1">
        <v>0</v>
      </c>
      <c r="BA56" s="61" t="s">
        <v>418</v>
      </c>
      <c r="BB56" s="75">
        <v>23</v>
      </c>
      <c r="BC56" s="18" t="s">
        <v>410</v>
      </c>
      <c r="BD56" s="61">
        <v>20</v>
      </c>
      <c r="BE56" s="61" t="s">
        <v>572</v>
      </c>
      <c r="BF56" s="18">
        <v>25</v>
      </c>
      <c r="BG56" s="61" t="s">
        <v>426</v>
      </c>
      <c r="BH56" s="75">
        <v>13</v>
      </c>
      <c r="BI56" s="9" t="s">
        <v>426</v>
      </c>
      <c r="BJ56" s="304">
        <v>0</v>
      </c>
      <c r="BK56" s="5" t="s">
        <v>423</v>
      </c>
      <c r="BL56" s="9">
        <v>0</v>
      </c>
      <c r="BM56" s="9" t="s">
        <v>322</v>
      </c>
      <c r="BN56" s="304">
        <v>0</v>
      </c>
      <c r="BO56" s="61" t="s">
        <v>310</v>
      </c>
      <c r="BP56" s="75">
        <v>12</v>
      </c>
      <c r="BQ56" s="73" t="s">
        <v>424</v>
      </c>
      <c r="BR56" s="73">
        <v>3</v>
      </c>
      <c r="BS56" s="9" t="s">
        <v>616</v>
      </c>
      <c r="BT56" s="9">
        <v>15</v>
      </c>
      <c r="BU56" s="61" t="s">
        <v>117</v>
      </c>
      <c r="BV56" s="18">
        <v>11</v>
      </c>
      <c r="BW56" s="6" t="s">
        <v>661</v>
      </c>
      <c r="BX56" s="410">
        <v>0</v>
      </c>
      <c r="BY56" s="296" t="s">
        <v>428</v>
      </c>
      <c r="BZ56" s="336">
        <v>0.45800000000000002</v>
      </c>
      <c r="CA56" s="310" t="s">
        <v>444</v>
      </c>
      <c r="CB56" s="337">
        <v>0.6</v>
      </c>
      <c r="CC56" s="78" t="s">
        <v>437</v>
      </c>
      <c r="CD56" s="66">
        <v>0.63636363636363635</v>
      </c>
      <c r="CE56" s="210" t="s">
        <v>425</v>
      </c>
      <c r="CF56" s="394">
        <v>1.2130000000000001</v>
      </c>
      <c r="CG56" s="5" t="s">
        <v>310</v>
      </c>
      <c r="CH56" s="49">
        <v>16.07</v>
      </c>
      <c r="CI56" s="5" t="s">
        <v>435</v>
      </c>
      <c r="CJ56" s="56">
        <v>3.77</v>
      </c>
      <c r="CK56" s="9" t="s">
        <v>416</v>
      </c>
      <c r="CL56" s="101">
        <v>16.03</v>
      </c>
      <c r="CM56" s="284"/>
      <c r="CN56" s="296" t="s">
        <v>293</v>
      </c>
      <c r="CO56" s="61">
        <v>92</v>
      </c>
    </row>
    <row r="57" spans="21:113" x14ac:dyDescent="0.3">
      <c r="AJ57" s="1">
        <v>14</v>
      </c>
      <c r="AK57" s="61" t="s">
        <v>435</v>
      </c>
      <c r="AL57" s="18">
        <v>28</v>
      </c>
      <c r="AM57" s="1" t="s">
        <v>295</v>
      </c>
      <c r="AN57" s="5">
        <v>84</v>
      </c>
      <c r="AO57" s="9" t="s">
        <v>567</v>
      </c>
      <c r="AP57" s="9">
        <v>68</v>
      </c>
      <c r="AQ57" s="1" t="s">
        <v>418</v>
      </c>
      <c r="AR57" s="5">
        <v>21</v>
      </c>
      <c r="AS57" s="1" t="s">
        <v>509</v>
      </c>
      <c r="AT57" s="5">
        <v>13</v>
      </c>
      <c r="AU57" s="5" t="s">
        <v>315</v>
      </c>
      <c r="AV57" s="9">
        <v>3</v>
      </c>
      <c r="AW57" s="5" t="s">
        <v>421</v>
      </c>
      <c r="AX57" s="285">
        <v>0</v>
      </c>
      <c r="AY57" s="296" t="s">
        <v>409</v>
      </c>
      <c r="AZ57" s="296">
        <v>0</v>
      </c>
      <c r="BA57" s="61" t="s">
        <v>443</v>
      </c>
      <c r="BB57" s="75">
        <v>23</v>
      </c>
      <c r="BC57" s="18" t="s">
        <v>430</v>
      </c>
      <c r="BD57" s="61">
        <v>20</v>
      </c>
      <c r="BE57" s="61" t="s">
        <v>479</v>
      </c>
      <c r="BF57" s="18">
        <v>17</v>
      </c>
      <c r="BG57" s="5" t="s">
        <v>517</v>
      </c>
      <c r="BH57" s="9">
        <v>15</v>
      </c>
      <c r="BI57" s="9" t="s">
        <v>424</v>
      </c>
      <c r="BJ57" s="304">
        <v>0</v>
      </c>
      <c r="BK57" s="5" t="s">
        <v>283</v>
      </c>
      <c r="BL57" s="9">
        <v>0</v>
      </c>
      <c r="BM57" s="9" t="s">
        <v>432</v>
      </c>
      <c r="BN57" s="304">
        <v>0</v>
      </c>
      <c r="BO57" s="61" t="s">
        <v>659</v>
      </c>
      <c r="BP57" s="75">
        <v>12</v>
      </c>
      <c r="BQ57" s="132" t="s">
        <v>412</v>
      </c>
      <c r="BR57" s="132">
        <v>2</v>
      </c>
      <c r="BS57" s="9" t="s">
        <v>617</v>
      </c>
      <c r="BT57" s="9">
        <v>14</v>
      </c>
      <c r="BU57" s="61" t="s">
        <v>435</v>
      </c>
      <c r="BV57" s="18">
        <v>10</v>
      </c>
      <c r="BW57" s="61" t="s">
        <v>547</v>
      </c>
      <c r="BX57" s="75">
        <v>0</v>
      </c>
      <c r="BY57" s="310" t="s">
        <v>159</v>
      </c>
      <c r="BZ57" s="337">
        <v>0.45454545454545453</v>
      </c>
      <c r="CA57" s="296" t="s">
        <v>299</v>
      </c>
      <c r="CB57" s="336">
        <v>0.58099999999999996</v>
      </c>
      <c r="CC57" s="75" t="s">
        <v>428</v>
      </c>
      <c r="CD57" s="149">
        <v>0.625</v>
      </c>
      <c r="CE57" s="75" t="s">
        <v>428</v>
      </c>
      <c r="CF57" s="150">
        <v>1.206</v>
      </c>
      <c r="CG57" s="61" t="s">
        <v>441</v>
      </c>
      <c r="CH57" s="126">
        <v>13.38</v>
      </c>
      <c r="CI57" s="70" t="s">
        <v>53</v>
      </c>
      <c r="CJ57" s="74">
        <v>3.61</v>
      </c>
      <c r="CK57" s="75" t="s">
        <v>441</v>
      </c>
      <c r="CL57" s="324">
        <v>14.21</v>
      </c>
      <c r="CM57" s="284"/>
      <c r="CN57" s="1" t="s">
        <v>295</v>
      </c>
      <c r="CO57" s="5">
        <v>84</v>
      </c>
    </row>
    <row r="58" spans="21:113" x14ac:dyDescent="0.3">
      <c r="AD58" s="25"/>
      <c r="AE58" s="25"/>
      <c r="AJ58" s="1">
        <v>15</v>
      </c>
      <c r="AK58" s="61" t="s">
        <v>441</v>
      </c>
      <c r="AL58" s="18">
        <v>26</v>
      </c>
      <c r="AM58" s="1" t="s">
        <v>45</v>
      </c>
      <c r="AN58" s="5">
        <v>76</v>
      </c>
      <c r="AO58" s="9" t="s">
        <v>441</v>
      </c>
      <c r="AP58" s="9">
        <v>52</v>
      </c>
      <c r="AQ58" s="1" t="s">
        <v>315</v>
      </c>
      <c r="AR58" s="5">
        <v>16</v>
      </c>
      <c r="AS58" s="1" t="s">
        <v>441</v>
      </c>
      <c r="AT58" s="5">
        <v>13</v>
      </c>
      <c r="AU58" s="5" t="s">
        <v>440</v>
      </c>
      <c r="AV58" s="9">
        <v>2</v>
      </c>
      <c r="AW58" s="61" t="s">
        <v>407</v>
      </c>
      <c r="AX58" s="18">
        <v>0</v>
      </c>
      <c r="AY58" s="1" t="s">
        <v>415</v>
      </c>
      <c r="AZ58" s="1">
        <v>0</v>
      </c>
      <c r="BA58" s="61" t="s">
        <v>465</v>
      </c>
      <c r="BB58" s="75">
        <v>23</v>
      </c>
      <c r="BC58" s="358" t="s">
        <v>416</v>
      </c>
      <c r="BD58" s="5">
        <v>18</v>
      </c>
      <c r="BE58" s="5" t="s">
        <v>480</v>
      </c>
      <c r="BF58" s="345">
        <v>17</v>
      </c>
      <c r="BG58" s="5" t="s">
        <v>518</v>
      </c>
      <c r="BH58" s="9">
        <v>8</v>
      </c>
      <c r="BI58" s="9" t="s">
        <v>414</v>
      </c>
      <c r="BJ58" s="304">
        <v>0</v>
      </c>
      <c r="BK58" s="5" t="s">
        <v>419</v>
      </c>
      <c r="BL58" s="9">
        <v>0</v>
      </c>
      <c r="BM58" s="9" t="s">
        <v>435</v>
      </c>
      <c r="BN58" s="304">
        <v>0</v>
      </c>
      <c r="BO58" s="5" t="s">
        <v>410</v>
      </c>
      <c r="BP58" s="9">
        <v>5</v>
      </c>
      <c r="BQ58" s="75" t="s">
        <v>322</v>
      </c>
      <c r="BR58" s="75">
        <v>2</v>
      </c>
      <c r="BS58" s="9" t="s">
        <v>436</v>
      </c>
      <c r="BT58" s="9">
        <v>7</v>
      </c>
      <c r="BU58" s="61" t="s">
        <v>466</v>
      </c>
      <c r="BV58" s="18">
        <v>9</v>
      </c>
      <c r="BW58" s="5" t="s">
        <v>546</v>
      </c>
      <c r="BX58" s="9">
        <v>0</v>
      </c>
      <c r="BY58" s="311" t="s">
        <v>425</v>
      </c>
      <c r="BZ58" s="335">
        <v>0.441</v>
      </c>
      <c r="CA58" s="310" t="s">
        <v>421</v>
      </c>
      <c r="CB58" s="337">
        <v>0.53846153846153844</v>
      </c>
      <c r="CC58" s="75" t="s">
        <v>410</v>
      </c>
      <c r="CD58" s="149">
        <v>0.57899999999999996</v>
      </c>
      <c r="CE58" s="9" t="s">
        <v>529</v>
      </c>
      <c r="CF58" s="20">
        <v>1.111</v>
      </c>
      <c r="CG58" s="70" t="s">
        <v>418</v>
      </c>
      <c r="CH58" s="395">
        <v>13.67</v>
      </c>
      <c r="CI58" s="61" t="s">
        <v>430</v>
      </c>
      <c r="CJ58" s="127">
        <v>3.58</v>
      </c>
      <c r="CK58" s="73" t="s">
        <v>418</v>
      </c>
      <c r="CL58" s="323">
        <v>12.41</v>
      </c>
      <c r="CM58" s="284"/>
      <c r="CN58" s="1" t="s">
        <v>45</v>
      </c>
      <c r="CO58" s="5">
        <v>76</v>
      </c>
    </row>
    <row r="59" spans="21:113" x14ac:dyDescent="0.3">
      <c r="AD59" s="25"/>
      <c r="AE59" s="25"/>
      <c r="AJ59" s="1">
        <v>16</v>
      </c>
      <c r="AK59" s="61" t="s">
        <v>426</v>
      </c>
      <c r="AL59" s="18">
        <v>15</v>
      </c>
      <c r="AM59" s="1" t="s">
        <v>304</v>
      </c>
      <c r="AN59" s="5">
        <v>45</v>
      </c>
      <c r="AO59" s="9" t="s">
        <v>410</v>
      </c>
      <c r="AP59" s="9">
        <v>38</v>
      </c>
      <c r="AQ59" s="1" t="s">
        <v>495</v>
      </c>
      <c r="AR59" s="5">
        <v>15</v>
      </c>
      <c r="AS59" s="1" t="s">
        <v>293</v>
      </c>
      <c r="AT59" s="5">
        <v>10</v>
      </c>
      <c r="AU59" s="61" t="s">
        <v>437</v>
      </c>
      <c r="AV59" s="75">
        <v>2</v>
      </c>
      <c r="AW59" s="5" t="s">
        <v>315</v>
      </c>
      <c r="AX59" s="285">
        <v>0</v>
      </c>
      <c r="AY59" s="1" t="s">
        <v>436</v>
      </c>
      <c r="AZ59" s="1">
        <v>0</v>
      </c>
      <c r="BA59" s="61" t="s">
        <v>410</v>
      </c>
      <c r="BB59" s="75">
        <v>22</v>
      </c>
      <c r="BC59" s="358" t="s">
        <v>418</v>
      </c>
      <c r="BD59" s="5">
        <v>15</v>
      </c>
      <c r="BE59" s="5" t="s">
        <v>441</v>
      </c>
      <c r="BF59" s="345">
        <v>17</v>
      </c>
      <c r="BG59" s="5" t="s">
        <v>416</v>
      </c>
      <c r="BH59" s="9">
        <v>9</v>
      </c>
      <c r="BI59" s="9" t="s">
        <v>428</v>
      </c>
      <c r="BJ59" s="304">
        <v>0</v>
      </c>
      <c r="BK59" s="5" t="s">
        <v>446</v>
      </c>
      <c r="BL59" s="9">
        <v>0</v>
      </c>
      <c r="BM59" s="9" t="s">
        <v>313</v>
      </c>
      <c r="BN59" s="304">
        <v>0</v>
      </c>
      <c r="BO59" s="5" t="s">
        <v>425</v>
      </c>
      <c r="BP59" s="9">
        <v>5</v>
      </c>
      <c r="BQ59" s="316" t="s">
        <v>439</v>
      </c>
      <c r="BR59" s="75">
        <v>2</v>
      </c>
      <c r="BS59" s="9" t="s">
        <v>299</v>
      </c>
      <c r="BT59" s="9">
        <v>7</v>
      </c>
      <c r="BU59" s="61" t="s">
        <v>473</v>
      </c>
      <c r="BV59" s="18">
        <v>7</v>
      </c>
      <c r="BW59" s="5" t="s">
        <v>323</v>
      </c>
      <c r="BX59" s="9">
        <v>0</v>
      </c>
      <c r="BY59" s="296" t="s">
        <v>435</v>
      </c>
      <c r="BZ59" s="336">
        <v>0.438</v>
      </c>
      <c r="CA59" s="296" t="s">
        <v>295</v>
      </c>
      <c r="CB59" s="336">
        <v>0.53800000000000003</v>
      </c>
      <c r="CC59" s="75" t="s">
        <v>411</v>
      </c>
      <c r="CD59" s="149">
        <v>0.57699999999999996</v>
      </c>
      <c r="CE59" s="75" t="s">
        <v>284</v>
      </c>
      <c r="CF59" s="150">
        <v>1.109</v>
      </c>
      <c r="CG59" s="189" t="s">
        <v>413</v>
      </c>
      <c r="CH59" s="194">
        <v>12.83</v>
      </c>
      <c r="CI59" s="70" t="s">
        <v>414</v>
      </c>
      <c r="CJ59" s="74">
        <v>3.48</v>
      </c>
      <c r="CK59" s="190" t="s">
        <v>413</v>
      </c>
      <c r="CL59" s="249">
        <v>11.26</v>
      </c>
      <c r="CM59" s="284"/>
      <c r="CN59" s="1" t="s">
        <v>304</v>
      </c>
      <c r="CO59" s="5">
        <v>45</v>
      </c>
    </row>
    <row r="60" spans="21:113" x14ac:dyDescent="0.3">
      <c r="AD60" s="25"/>
      <c r="AE60" s="25"/>
      <c r="AJ60" s="1">
        <v>17</v>
      </c>
      <c r="AK60" s="61" t="s">
        <v>410</v>
      </c>
      <c r="AL60" s="18">
        <v>13</v>
      </c>
      <c r="AM60" s="1" t="s">
        <v>288</v>
      </c>
      <c r="AN60" s="5">
        <v>41</v>
      </c>
      <c r="AO60" s="9" t="s">
        <v>426</v>
      </c>
      <c r="AP60" s="9">
        <v>35</v>
      </c>
      <c r="AQ60" s="1" t="s">
        <v>410</v>
      </c>
      <c r="AR60" s="5">
        <v>14</v>
      </c>
      <c r="AS60" s="1" t="s">
        <v>425</v>
      </c>
      <c r="AT60" s="5">
        <v>10</v>
      </c>
      <c r="AU60" s="5" t="s">
        <v>425</v>
      </c>
      <c r="AV60" s="9">
        <v>2</v>
      </c>
      <c r="AW60" s="5" t="s">
        <v>415</v>
      </c>
      <c r="AX60" s="285">
        <v>0</v>
      </c>
      <c r="AY60" s="1" t="s">
        <v>424</v>
      </c>
      <c r="AZ60" s="1">
        <v>0</v>
      </c>
      <c r="BA60" s="61" t="s">
        <v>45</v>
      </c>
      <c r="BB60" s="75">
        <v>19</v>
      </c>
      <c r="BC60" s="358" t="s">
        <v>428</v>
      </c>
      <c r="BD60" s="5">
        <v>11</v>
      </c>
      <c r="BE60" s="5" t="s">
        <v>425</v>
      </c>
      <c r="BF60" s="345">
        <v>15</v>
      </c>
      <c r="BG60" s="5" t="s">
        <v>410</v>
      </c>
      <c r="BH60" s="9">
        <v>5</v>
      </c>
      <c r="BI60" s="9" t="s">
        <v>441</v>
      </c>
      <c r="BJ60" s="304">
        <v>0</v>
      </c>
      <c r="BK60" s="31" t="s">
        <v>439</v>
      </c>
      <c r="BL60" s="9">
        <v>0</v>
      </c>
      <c r="BM60" s="9" t="s">
        <v>436</v>
      </c>
      <c r="BN60" s="304">
        <v>0</v>
      </c>
      <c r="BO60" s="5" t="s">
        <v>421</v>
      </c>
      <c r="BP60" s="9">
        <v>4</v>
      </c>
      <c r="BQ60" s="75" t="s">
        <v>430</v>
      </c>
      <c r="BR60" s="75">
        <v>2</v>
      </c>
      <c r="BS60" s="9" t="s">
        <v>425</v>
      </c>
      <c r="BT60" s="9">
        <v>7</v>
      </c>
      <c r="BU60" s="61" t="s">
        <v>474</v>
      </c>
      <c r="BV60" s="18">
        <v>7</v>
      </c>
      <c r="BW60" s="5" t="s">
        <v>322</v>
      </c>
      <c r="BX60" s="9">
        <v>0</v>
      </c>
      <c r="BY60" s="296" t="s">
        <v>410</v>
      </c>
      <c r="BZ60" s="336">
        <v>0.36799999999999999</v>
      </c>
      <c r="CA60" s="311" t="s">
        <v>425</v>
      </c>
      <c r="CB60" s="335">
        <v>0.53700000000000003</v>
      </c>
      <c r="CC60" s="75" t="s">
        <v>435</v>
      </c>
      <c r="CD60" s="149">
        <v>0.54700000000000004</v>
      </c>
      <c r="CE60" s="75" t="s">
        <v>435</v>
      </c>
      <c r="CF60" s="150">
        <v>1.085</v>
      </c>
      <c r="CG60" s="67" t="s">
        <v>288</v>
      </c>
      <c r="CH60" s="279">
        <v>11.06</v>
      </c>
      <c r="CI60" s="61" t="s">
        <v>441</v>
      </c>
      <c r="CJ60" s="127">
        <v>3.39</v>
      </c>
      <c r="CK60" s="210" t="s">
        <v>425</v>
      </c>
      <c r="CL60" s="252">
        <v>10.89</v>
      </c>
      <c r="CM60" s="284"/>
      <c r="CN60" s="1" t="s">
        <v>288</v>
      </c>
      <c r="CO60" s="5">
        <v>41</v>
      </c>
    </row>
    <row r="61" spans="21:113" x14ac:dyDescent="0.3">
      <c r="AJ61" s="1">
        <v>18</v>
      </c>
      <c r="AK61" s="61" t="s">
        <v>425</v>
      </c>
      <c r="AL61" s="18">
        <v>12</v>
      </c>
      <c r="AM61" s="1" t="s">
        <v>61</v>
      </c>
      <c r="AN61" s="5">
        <v>39</v>
      </c>
      <c r="AO61" s="9" t="s">
        <v>445</v>
      </c>
      <c r="AP61" s="9">
        <v>34</v>
      </c>
      <c r="AQ61" s="1" t="s">
        <v>428</v>
      </c>
      <c r="AR61" s="5">
        <v>11</v>
      </c>
      <c r="AS61" s="1" t="s">
        <v>410</v>
      </c>
      <c r="AT61" s="5">
        <v>8</v>
      </c>
      <c r="AU61" s="5" t="s">
        <v>415</v>
      </c>
      <c r="AV61" s="9">
        <v>1</v>
      </c>
      <c r="AW61" s="5" t="s">
        <v>424</v>
      </c>
      <c r="AX61" s="285">
        <v>0</v>
      </c>
      <c r="AY61" s="296" t="s">
        <v>423</v>
      </c>
      <c r="AZ61" s="296">
        <v>0</v>
      </c>
      <c r="BA61" s="61" t="s">
        <v>70</v>
      </c>
      <c r="BB61" s="75">
        <v>15</v>
      </c>
      <c r="BC61" s="18" t="s">
        <v>419</v>
      </c>
      <c r="BD61" s="61">
        <v>10</v>
      </c>
      <c r="BE61" s="5" t="s">
        <v>299</v>
      </c>
      <c r="BF61" s="345">
        <v>13</v>
      </c>
      <c r="BG61" s="5" t="s">
        <v>520</v>
      </c>
      <c r="BH61" s="9">
        <v>5</v>
      </c>
      <c r="BI61" s="9" t="s">
        <v>447</v>
      </c>
      <c r="BJ61" s="304">
        <v>0</v>
      </c>
      <c r="BK61" s="5" t="s">
        <v>426</v>
      </c>
      <c r="BL61" s="9">
        <v>0</v>
      </c>
      <c r="BM61" s="9" t="s">
        <v>424</v>
      </c>
      <c r="BN61" s="304">
        <v>0</v>
      </c>
      <c r="BO61" s="5" t="s">
        <v>412</v>
      </c>
      <c r="BP61" s="9">
        <v>4</v>
      </c>
      <c r="BQ61" s="75" t="s">
        <v>431</v>
      </c>
      <c r="BR61" s="75">
        <v>2</v>
      </c>
      <c r="BS61" s="9" t="s">
        <v>524</v>
      </c>
      <c r="BT61" s="9">
        <v>6</v>
      </c>
      <c r="BU61" s="61" t="s">
        <v>409</v>
      </c>
      <c r="BV61" s="18">
        <v>6</v>
      </c>
      <c r="BW61" s="5" t="s">
        <v>315</v>
      </c>
      <c r="BX61" s="9">
        <v>0</v>
      </c>
      <c r="BY61" s="296" t="s">
        <v>447</v>
      </c>
      <c r="BZ61" s="336">
        <v>0.376</v>
      </c>
      <c r="CA61" s="296" t="s">
        <v>411</v>
      </c>
      <c r="CB61" s="336">
        <v>0.53200000000000003</v>
      </c>
      <c r="CC61" s="75" t="s">
        <v>436</v>
      </c>
      <c r="CD61" s="149">
        <v>0.47099999999999997</v>
      </c>
      <c r="CE61" s="75" t="s">
        <v>304</v>
      </c>
      <c r="CF61" s="150">
        <v>1.0009999999999999</v>
      </c>
      <c r="CG61" s="61" t="s">
        <v>428</v>
      </c>
      <c r="CH61" s="126">
        <v>10.5</v>
      </c>
      <c r="CI61" s="70" t="s">
        <v>420</v>
      </c>
      <c r="CJ61" s="74">
        <v>3.35</v>
      </c>
      <c r="CK61" s="9" t="s">
        <v>442</v>
      </c>
      <c r="CL61" s="101">
        <v>10.19</v>
      </c>
      <c r="CM61" s="284"/>
      <c r="CN61" s="1" t="s">
        <v>61</v>
      </c>
      <c r="CO61" s="5">
        <v>39</v>
      </c>
      <c r="DI61" s="290"/>
    </row>
    <row r="62" spans="21:113" x14ac:dyDescent="0.3">
      <c r="AJ62" s="1">
        <v>19</v>
      </c>
      <c r="AK62" s="61" t="s">
        <v>412</v>
      </c>
      <c r="AL62" s="18">
        <v>11</v>
      </c>
      <c r="AM62" s="1" t="s">
        <v>70</v>
      </c>
      <c r="AN62" s="5">
        <v>31</v>
      </c>
      <c r="AO62" s="9" t="s">
        <v>428</v>
      </c>
      <c r="AP62" s="9">
        <v>24</v>
      </c>
      <c r="AQ62" s="296" t="s">
        <v>413</v>
      </c>
      <c r="AR62" s="61">
        <v>10</v>
      </c>
      <c r="AS62" s="1" t="s">
        <v>510</v>
      </c>
      <c r="AT62" s="5">
        <v>7</v>
      </c>
      <c r="AU62" s="5" t="s">
        <v>424</v>
      </c>
      <c r="AV62" s="9">
        <v>1</v>
      </c>
      <c r="AW62" s="61" t="s">
        <v>423</v>
      </c>
      <c r="AX62" s="18">
        <v>0</v>
      </c>
      <c r="AY62" s="1" t="s">
        <v>454</v>
      </c>
      <c r="AZ62" s="1">
        <v>0</v>
      </c>
      <c r="BA62" s="61" t="s">
        <v>326</v>
      </c>
      <c r="BB62" s="75">
        <v>13</v>
      </c>
      <c r="BC62" s="358" t="s">
        <v>425</v>
      </c>
      <c r="BD62" s="5">
        <v>9</v>
      </c>
      <c r="BE62" s="5" t="s">
        <v>304</v>
      </c>
      <c r="BF62" s="345">
        <v>12</v>
      </c>
      <c r="BG62" s="5" t="s">
        <v>519</v>
      </c>
      <c r="BH62" s="9">
        <v>5</v>
      </c>
      <c r="BI62" s="9" t="s">
        <v>437</v>
      </c>
      <c r="BJ62" s="304">
        <v>0</v>
      </c>
      <c r="BK62" s="5" t="s">
        <v>430</v>
      </c>
      <c r="BL62" s="9">
        <v>0</v>
      </c>
      <c r="BM62" s="9" t="s">
        <v>448</v>
      </c>
      <c r="BN62" s="304">
        <v>0</v>
      </c>
      <c r="BO62" s="5" t="s">
        <v>436</v>
      </c>
      <c r="BP62" s="9">
        <v>3</v>
      </c>
      <c r="BQ62" s="9" t="s">
        <v>545</v>
      </c>
      <c r="BR62" s="9">
        <v>2</v>
      </c>
      <c r="BS62" s="9" t="s">
        <v>37</v>
      </c>
      <c r="BT62" s="9">
        <v>6</v>
      </c>
      <c r="BU62" s="61" t="s">
        <v>592</v>
      </c>
      <c r="BV62" s="18">
        <v>6</v>
      </c>
      <c r="BW62" s="5" t="s">
        <v>280</v>
      </c>
      <c r="BX62" s="9">
        <v>0</v>
      </c>
      <c r="BY62" s="1" t="s">
        <v>541</v>
      </c>
      <c r="BZ62" s="317">
        <v>0.33300000000000002</v>
      </c>
      <c r="CA62" s="296" t="s">
        <v>430</v>
      </c>
      <c r="CB62" s="336">
        <v>0.46899999999999997</v>
      </c>
      <c r="CC62" s="75" t="s">
        <v>416</v>
      </c>
      <c r="CD62" s="149">
        <v>0.41799999999999998</v>
      </c>
      <c r="CE62" s="75" t="s">
        <v>436</v>
      </c>
      <c r="CF62" s="150">
        <v>0.89500000000000002</v>
      </c>
      <c r="CG62" s="5" t="s">
        <v>410</v>
      </c>
      <c r="CH62" s="49">
        <v>9.83</v>
      </c>
      <c r="CI62" s="61" t="s">
        <v>304</v>
      </c>
      <c r="CJ62" s="127">
        <v>3.28</v>
      </c>
      <c r="CK62" s="75" t="s">
        <v>428</v>
      </c>
      <c r="CL62" s="324">
        <v>9</v>
      </c>
      <c r="CM62" s="284"/>
      <c r="CN62" s="1" t="s">
        <v>70</v>
      </c>
      <c r="CO62" s="5">
        <v>31</v>
      </c>
    </row>
    <row r="63" spans="21:113" x14ac:dyDescent="0.3">
      <c r="AD63" s="25"/>
      <c r="AE63" s="25"/>
      <c r="AJ63" s="1">
        <v>20</v>
      </c>
      <c r="AK63" s="61" t="s">
        <v>428</v>
      </c>
      <c r="AL63" s="18">
        <v>11</v>
      </c>
      <c r="AM63" s="1" t="s">
        <v>101</v>
      </c>
      <c r="AN63" s="5">
        <v>25</v>
      </c>
      <c r="AO63" s="9" t="s">
        <v>412</v>
      </c>
      <c r="AP63" s="9">
        <v>19</v>
      </c>
      <c r="AQ63" s="1" t="s">
        <v>449</v>
      </c>
      <c r="AR63" s="5">
        <v>7</v>
      </c>
      <c r="AS63" s="1" t="s">
        <v>412</v>
      </c>
      <c r="AT63" s="5">
        <v>4</v>
      </c>
      <c r="AU63" s="5" t="s">
        <v>326</v>
      </c>
      <c r="AV63" s="9">
        <v>1</v>
      </c>
      <c r="AW63" s="5" t="s">
        <v>448</v>
      </c>
      <c r="AX63" s="285">
        <v>0</v>
      </c>
      <c r="AY63" s="61" t="s">
        <v>592</v>
      </c>
      <c r="AZ63" s="75">
        <v>0</v>
      </c>
      <c r="BA63" s="61" t="s">
        <v>413</v>
      </c>
      <c r="BB63" s="75">
        <v>10</v>
      </c>
      <c r="BC63" s="358" t="s">
        <v>431</v>
      </c>
      <c r="BD63" s="5">
        <v>7</v>
      </c>
      <c r="BE63" s="5" t="s">
        <v>101</v>
      </c>
      <c r="BF63" s="345">
        <v>7</v>
      </c>
      <c r="BG63" s="5" t="s">
        <v>425</v>
      </c>
      <c r="BH63" s="9">
        <v>4</v>
      </c>
      <c r="BI63" s="103" t="s">
        <v>439</v>
      </c>
      <c r="BJ63" s="304">
        <v>0</v>
      </c>
      <c r="BK63" s="5" t="s">
        <v>411</v>
      </c>
      <c r="BL63" s="9">
        <v>0</v>
      </c>
      <c r="BM63" s="9" t="s">
        <v>419</v>
      </c>
      <c r="BN63" s="304">
        <v>0</v>
      </c>
      <c r="BO63" s="61" t="s">
        <v>592</v>
      </c>
      <c r="BP63" s="75">
        <v>3</v>
      </c>
      <c r="BQ63" s="9" t="s">
        <v>407</v>
      </c>
      <c r="BR63" s="9">
        <v>1</v>
      </c>
      <c r="BS63" s="9" t="s">
        <v>499</v>
      </c>
      <c r="BT63" s="9">
        <v>6</v>
      </c>
      <c r="BU63" s="61" t="s">
        <v>446</v>
      </c>
      <c r="BV63" s="18">
        <v>5</v>
      </c>
      <c r="BW63" s="5" t="s">
        <v>313</v>
      </c>
      <c r="BX63" s="9">
        <v>0</v>
      </c>
      <c r="BY63" s="296" t="s">
        <v>441</v>
      </c>
      <c r="BZ63" s="336">
        <v>0.314</v>
      </c>
      <c r="CA63" s="296" t="s">
        <v>441</v>
      </c>
      <c r="CB63" s="336">
        <v>0.47299999999999998</v>
      </c>
      <c r="CC63" s="75" t="s">
        <v>496</v>
      </c>
      <c r="CD63" s="149">
        <v>0.373</v>
      </c>
      <c r="CE63" s="75" t="s">
        <v>441</v>
      </c>
      <c r="CF63" s="150">
        <v>0.84599999999999997</v>
      </c>
      <c r="CG63" s="67" t="s">
        <v>419</v>
      </c>
      <c r="CH63" s="279">
        <v>6.44</v>
      </c>
      <c r="CI63" s="60" t="s">
        <v>421</v>
      </c>
      <c r="CJ63" s="77">
        <v>3.19</v>
      </c>
      <c r="CK63" s="210" t="s">
        <v>419</v>
      </c>
      <c r="CL63" s="252">
        <v>5.85</v>
      </c>
      <c r="CM63" s="284"/>
      <c r="CN63" s="1" t="s">
        <v>101</v>
      </c>
      <c r="CO63" s="5">
        <v>25</v>
      </c>
    </row>
    <row r="64" spans="21:113" x14ac:dyDescent="0.3">
      <c r="AD64" s="25"/>
      <c r="AE64" s="25"/>
      <c r="AJ64" s="1">
        <v>21</v>
      </c>
      <c r="AK64" s="61" t="s">
        <v>431</v>
      </c>
      <c r="AL64" s="18">
        <v>9</v>
      </c>
      <c r="AM64" s="98" t="s">
        <v>111</v>
      </c>
      <c r="AN64" s="5">
        <v>24</v>
      </c>
      <c r="AO64" s="103" t="s">
        <v>439</v>
      </c>
      <c r="AP64" s="9">
        <v>19</v>
      </c>
      <c r="AQ64" s="1" t="s">
        <v>437</v>
      </c>
      <c r="AR64" s="5">
        <v>5</v>
      </c>
      <c r="AS64" s="1" t="s">
        <v>419</v>
      </c>
      <c r="AT64" s="5">
        <v>4</v>
      </c>
      <c r="AU64" s="5" t="s">
        <v>412</v>
      </c>
      <c r="AV64" s="9">
        <v>0</v>
      </c>
      <c r="AW64" s="61" t="s">
        <v>592</v>
      </c>
      <c r="AX64" s="75">
        <v>0</v>
      </c>
      <c r="AY64" s="1" t="s">
        <v>446</v>
      </c>
      <c r="AZ64" s="1">
        <v>0</v>
      </c>
      <c r="BA64" s="61" t="s">
        <v>437</v>
      </c>
      <c r="BB64" s="75">
        <v>7</v>
      </c>
      <c r="BC64" s="358" t="s">
        <v>413</v>
      </c>
      <c r="BD64" s="5">
        <v>7</v>
      </c>
      <c r="BE64" s="5" t="s">
        <v>419</v>
      </c>
      <c r="BF64" s="345">
        <v>7</v>
      </c>
      <c r="BG64" s="5" t="s">
        <v>431</v>
      </c>
      <c r="BH64" s="9">
        <v>2</v>
      </c>
      <c r="BI64" s="9" t="s">
        <v>446</v>
      </c>
      <c r="BJ64" s="304">
        <v>0</v>
      </c>
      <c r="BK64" s="5" t="s">
        <v>414</v>
      </c>
      <c r="BL64" s="9">
        <v>0</v>
      </c>
      <c r="BM64" s="61" t="s">
        <v>592</v>
      </c>
      <c r="BN64" s="18">
        <v>0</v>
      </c>
      <c r="BO64" s="31" t="s">
        <v>439</v>
      </c>
      <c r="BP64" s="9">
        <v>3</v>
      </c>
      <c r="BQ64" s="9" t="s">
        <v>446</v>
      </c>
      <c r="BR64" s="9">
        <v>1</v>
      </c>
      <c r="BS64" s="9" t="s">
        <v>410</v>
      </c>
      <c r="BT64" s="9">
        <v>5</v>
      </c>
      <c r="BU64" s="61" t="s">
        <v>299</v>
      </c>
      <c r="BV64" s="18">
        <v>4</v>
      </c>
      <c r="BW64" s="5" t="s">
        <v>283</v>
      </c>
      <c r="BX64" s="9">
        <v>0</v>
      </c>
      <c r="BY64" s="296" t="s">
        <v>430</v>
      </c>
      <c r="BZ64" s="336">
        <v>0.311</v>
      </c>
      <c r="CA64" s="296" t="s">
        <v>436</v>
      </c>
      <c r="CB64" s="336">
        <v>0.42399999999999999</v>
      </c>
      <c r="CC64" s="9" t="s">
        <v>548</v>
      </c>
      <c r="CD64" s="21">
        <v>0.33300000000000002</v>
      </c>
      <c r="CE64" s="75" t="s">
        <v>416</v>
      </c>
      <c r="CF64" s="150">
        <v>0.81200000000000006</v>
      </c>
      <c r="CG64" s="60" t="s">
        <v>437</v>
      </c>
      <c r="CH64" s="76">
        <v>3.64</v>
      </c>
      <c r="CI64" s="189" t="s">
        <v>413</v>
      </c>
      <c r="CJ64" s="195">
        <v>2.92</v>
      </c>
      <c r="CK64" s="78" t="s">
        <v>159</v>
      </c>
      <c r="CL64" s="326">
        <v>3.7359999999999993</v>
      </c>
      <c r="CM64" s="284"/>
      <c r="CN64" s="98" t="s">
        <v>111</v>
      </c>
      <c r="CO64" s="5">
        <v>24</v>
      </c>
    </row>
    <row r="65" spans="21:94" x14ac:dyDescent="0.3">
      <c r="AJ65" s="1">
        <v>22</v>
      </c>
      <c r="AK65" s="342" t="s">
        <v>303</v>
      </c>
      <c r="AL65" s="18">
        <v>8</v>
      </c>
      <c r="AM65" s="1" t="s">
        <v>5</v>
      </c>
      <c r="AN65" s="5">
        <v>22</v>
      </c>
      <c r="AO65" s="9" t="s">
        <v>431</v>
      </c>
      <c r="AP65" s="9">
        <v>19</v>
      </c>
      <c r="AQ65" s="1" t="s">
        <v>431</v>
      </c>
      <c r="AR65" s="5">
        <v>4</v>
      </c>
      <c r="AS65" s="1" t="s">
        <v>450</v>
      </c>
      <c r="AT65" s="5">
        <v>4</v>
      </c>
      <c r="AU65" s="5" t="s">
        <v>422</v>
      </c>
      <c r="AV65" s="9">
        <v>0</v>
      </c>
      <c r="AW65" s="5" t="s">
        <v>446</v>
      </c>
      <c r="AX65" s="285">
        <v>0</v>
      </c>
      <c r="AY65" s="98" t="s">
        <v>439</v>
      </c>
      <c r="AZ65" s="1">
        <v>0</v>
      </c>
      <c r="BA65" s="61" t="s">
        <v>431</v>
      </c>
      <c r="BB65" s="75">
        <v>4</v>
      </c>
      <c r="BC65" s="358" t="s">
        <v>437</v>
      </c>
      <c r="BD65" s="5">
        <v>6</v>
      </c>
      <c r="BE65" s="5" t="s">
        <v>502</v>
      </c>
      <c r="BF65" s="345">
        <v>6</v>
      </c>
      <c r="BG65" s="5" t="s">
        <v>412</v>
      </c>
      <c r="BH65" s="9">
        <v>1</v>
      </c>
      <c r="BI65" s="9" t="s">
        <v>101</v>
      </c>
      <c r="BJ65" s="304">
        <v>0</v>
      </c>
      <c r="BK65" s="5" t="s">
        <v>437</v>
      </c>
      <c r="BL65" s="9">
        <v>0</v>
      </c>
      <c r="BM65" s="9" t="s">
        <v>446</v>
      </c>
      <c r="BN65" s="304">
        <v>0</v>
      </c>
      <c r="BO65" s="5" t="s">
        <v>437</v>
      </c>
      <c r="BP65" s="9">
        <v>3</v>
      </c>
      <c r="BQ65" s="9" t="s">
        <v>437</v>
      </c>
      <c r="BR65" s="9">
        <v>1</v>
      </c>
      <c r="BS65" s="103" t="s">
        <v>439</v>
      </c>
      <c r="BT65" s="9">
        <v>5</v>
      </c>
      <c r="BU65" s="61" t="s">
        <v>452</v>
      </c>
      <c r="BV65" s="18">
        <v>4</v>
      </c>
      <c r="BW65" s="5" t="s">
        <v>449</v>
      </c>
      <c r="BX65" s="9">
        <v>0</v>
      </c>
      <c r="BY65" s="296" t="s">
        <v>310</v>
      </c>
      <c r="BZ65" s="336">
        <v>0.26600000000000001</v>
      </c>
      <c r="CA65" s="296" t="s">
        <v>410</v>
      </c>
      <c r="CB65" s="336">
        <v>0.42199999999999999</v>
      </c>
      <c r="CC65" s="75" t="s">
        <v>497</v>
      </c>
      <c r="CD65" s="149">
        <v>0.311</v>
      </c>
      <c r="CE65" s="75" t="s">
        <v>430</v>
      </c>
      <c r="CF65" s="150">
        <v>0.78</v>
      </c>
      <c r="CG65" s="5" t="s">
        <v>502</v>
      </c>
      <c r="CH65" s="49">
        <v>2.58</v>
      </c>
      <c r="CI65" s="5" t="s">
        <v>625</v>
      </c>
      <c r="CJ65" s="56">
        <v>2.84</v>
      </c>
      <c r="CK65" s="197" t="s">
        <v>412</v>
      </c>
      <c r="CL65" s="374">
        <v>2.41</v>
      </c>
      <c r="CM65" s="284"/>
      <c r="CN65" s="1" t="s">
        <v>5</v>
      </c>
      <c r="CO65" s="5">
        <v>22</v>
      </c>
    </row>
    <row r="66" spans="21:94" x14ac:dyDescent="0.3">
      <c r="AD66" s="25"/>
      <c r="AE66" s="25"/>
      <c r="AJ66" s="1">
        <v>23</v>
      </c>
      <c r="AK66" s="61" t="s">
        <v>437</v>
      </c>
      <c r="AL66" s="18">
        <v>8</v>
      </c>
      <c r="AM66" s="1" t="s">
        <v>69</v>
      </c>
      <c r="AN66" s="5">
        <v>15</v>
      </c>
      <c r="AO66" s="9" t="s">
        <v>159</v>
      </c>
      <c r="AP66" s="9">
        <v>11</v>
      </c>
      <c r="AQ66" s="1" t="s">
        <v>412</v>
      </c>
      <c r="AR66" s="5">
        <v>4</v>
      </c>
      <c r="AS66" s="98" t="s">
        <v>439</v>
      </c>
      <c r="AT66" s="5">
        <v>3</v>
      </c>
      <c r="AU66" s="5" t="s">
        <v>421</v>
      </c>
      <c r="AV66" s="9">
        <v>0</v>
      </c>
      <c r="AW66" s="31" t="s">
        <v>439</v>
      </c>
      <c r="AX66" s="285">
        <v>0</v>
      </c>
      <c r="AY66" s="296" t="s">
        <v>411</v>
      </c>
      <c r="AZ66" s="296">
        <v>0</v>
      </c>
      <c r="BA66" s="61" t="s">
        <v>412</v>
      </c>
      <c r="BB66" s="75">
        <v>4</v>
      </c>
      <c r="BC66" s="358" t="s">
        <v>412</v>
      </c>
      <c r="BD66" s="5">
        <v>5</v>
      </c>
      <c r="BE66" s="5" t="s">
        <v>431</v>
      </c>
      <c r="BF66" s="345">
        <v>5</v>
      </c>
      <c r="BG66" s="5" t="s">
        <v>553</v>
      </c>
      <c r="BH66" s="9">
        <v>1</v>
      </c>
      <c r="BI66" s="9" t="s">
        <v>422</v>
      </c>
      <c r="BJ66" s="304">
        <v>0</v>
      </c>
      <c r="BK66" s="5" t="s">
        <v>428</v>
      </c>
      <c r="BL66" s="9">
        <v>0</v>
      </c>
      <c r="BM66" s="103" t="s">
        <v>439</v>
      </c>
      <c r="BN66" s="304">
        <v>0</v>
      </c>
      <c r="BO66" s="5" t="s">
        <v>299</v>
      </c>
      <c r="BP66" s="9">
        <v>3</v>
      </c>
      <c r="BQ66" s="9" t="s">
        <v>410</v>
      </c>
      <c r="BR66" s="9">
        <v>0</v>
      </c>
      <c r="BS66" s="9" t="s">
        <v>437</v>
      </c>
      <c r="BT66" s="9">
        <v>4</v>
      </c>
      <c r="BU66" s="61" t="s">
        <v>410</v>
      </c>
      <c r="BV66" s="18">
        <v>4</v>
      </c>
      <c r="BW66" s="61" t="s">
        <v>592</v>
      </c>
      <c r="BX66" s="75">
        <v>1</v>
      </c>
      <c r="BY66" s="372" t="s">
        <v>412</v>
      </c>
      <c r="BZ66" s="373">
        <v>0.21099999999999999</v>
      </c>
      <c r="CA66" s="372" t="s">
        <v>412</v>
      </c>
      <c r="CB66" s="373">
        <v>0.4</v>
      </c>
      <c r="CC66" s="197" t="s">
        <v>412</v>
      </c>
      <c r="CD66" s="200">
        <v>0.21099999999999999</v>
      </c>
      <c r="CE66" s="78" t="s">
        <v>322</v>
      </c>
      <c r="CF66" s="65">
        <v>0.68131868131868134</v>
      </c>
      <c r="CG66" s="196" t="s">
        <v>412</v>
      </c>
      <c r="CH66" s="201">
        <v>2.2400000000000002</v>
      </c>
      <c r="CI66" s="61" t="s">
        <v>626</v>
      </c>
      <c r="CJ66" s="127">
        <v>2.84</v>
      </c>
      <c r="CK66" s="9" t="s">
        <v>504</v>
      </c>
      <c r="CL66" s="56">
        <v>2.34</v>
      </c>
      <c r="CM66" s="284"/>
      <c r="CN66" s="1" t="s">
        <v>69</v>
      </c>
      <c r="CO66" s="5">
        <v>15</v>
      </c>
    </row>
    <row r="67" spans="21:94" x14ac:dyDescent="0.3">
      <c r="AJ67" s="1">
        <v>24</v>
      </c>
      <c r="AK67" s="61" t="s">
        <v>421</v>
      </c>
      <c r="AL67" s="18">
        <v>7</v>
      </c>
      <c r="AM67" s="1" t="s">
        <v>37</v>
      </c>
      <c r="AN67" s="5">
        <v>13</v>
      </c>
      <c r="AO67" s="9" t="s">
        <v>419</v>
      </c>
      <c r="AP67" s="9">
        <v>10</v>
      </c>
      <c r="AQ67" s="98" t="s">
        <v>303</v>
      </c>
      <c r="AR67" s="5">
        <v>3</v>
      </c>
      <c r="AS67" s="1" t="s">
        <v>437</v>
      </c>
      <c r="AT67" s="5">
        <v>3</v>
      </c>
      <c r="AU67" s="5" t="s">
        <v>448</v>
      </c>
      <c r="AV67" s="9">
        <v>0</v>
      </c>
      <c r="AW67" s="61" t="s">
        <v>426</v>
      </c>
      <c r="AX67" s="18">
        <v>0</v>
      </c>
      <c r="AY67" s="1" t="s">
        <v>430</v>
      </c>
      <c r="AZ67" s="1">
        <v>0</v>
      </c>
      <c r="BA67" s="342" t="s">
        <v>303</v>
      </c>
      <c r="BB67" s="75">
        <v>3</v>
      </c>
      <c r="BC67" s="155" t="s">
        <v>439</v>
      </c>
      <c r="BD67" s="5">
        <v>3</v>
      </c>
      <c r="BE67" s="5" t="s">
        <v>437</v>
      </c>
      <c r="BF67" s="345">
        <v>4</v>
      </c>
      <c r="BG67" s="5" t="s">
        <v>422</v>
      </c>
      <c r="BH67" s="9">
        <v>0</v>
      </c>
      <c r="BI67" s="9" t="s">
        <v>415</v>
      </c>
      <c r="BJ67" s="304">
        <v>0</v>
      </c>
      <c r="BK67" s="5" t="s">
        <v>433</v>
      </c>
      <c r="BL67" s="9">
        <v>0</v>
      </c>
      <c r="BM67" s="75" t="s">
        <v>430</v>
      </c>
      <c r="BN67" s="18">
        <v>0</v>
      </c>
      <c r="BO67" s="5" t="s">
        <v>499</v>
      </c>
      <c r="BP67" s="9">
        <v>3</v>
      </c>
      <c r="BQ67" s="9" t="s">
        <v>422</v>
      </c>
      <c r="BR67" s="9">
        <v>0</v>
      </c>
      <c r="BS67" s="9" t="s">
        <v>623</v>
      </c>
      <c r="BT67" s="9">
        <v>3</v>
      </c>
      <c r="BU67" s="61" t="s">
        <v>421</v>
      </c>
      <c r="BV67" s="18">
        <v>3</v>
      </c>
      <c r="BW67" s="5" t="s">
        <v>446</v>
      </c>
      <c r="BX67" s="9">
        <v>0</v>
      </c>
      <c r="BY67" s="310" t="s">
        <v>431</v>
      </c>
      <c r="BZ67" s="337">
        <v>0.21052631578947367</v>
      </c>
      <c r="CA67" s="244" t="s">
        <v>413</v>
      </c>
      <c r="CB67" s="338">
        <v>0.39600000000000002</v>
      </c>
      <c r="CC67" s="78" t="s">
        <v>431</v>
      </c>
      <c r="CD67" s="66">
        <v>0.21052631578947367</v>
      </c>
      <c r="CE67" s="75" t="s">
        <v>412</v>
      </c>
      <c r="CF67" s="150">
        <v>0.61099999999999999</v>
      </c>
      <c r="CG67" s="60" t="s">
        <v>421</v>
      </c>
      <c r="CH67" s="76">
        <v>1.6</v>
      </c>
      <c r="CI67" s="70" t="s">
        <v>418</v>
      </c>
      <c r="CJ67" s="74">
        <v>1.95</v>
      </c>
      <c r="CK67" s="211" t="s">
        <v>439</v>
      </c>
      <c r="CL67" s="252">
        <v>1.69</v>
      </c>
      <c r="CM67" s="284"/>
      <c r="CN67" s="1" t="s">
        <v>37</v>
      </c>
      <c r="CO67" s="5">
        <v>13</v>
      </c>
    </row>
    <row r="68" spans="21:94" x14ac:dyDescent="0.3">
      <c r="AJ68" s="1">
        <v>25</v>
      </c>
      <c r="AK68" s="61" t="s">
        <v>592</v>
      </c>
      <c r="AL68" s="18">
        <v>4</v>
      </c>
      <c r="AM68" s="1" t="s">
        <v>57</v>
      </c>
      <c r="AN68" s="5">
        <v>11</v>
      </c>
      <c r="AO68" s="75" t="s">
        <v>592</v>
      </c>
      <c r="AP68" s="75">
        <v>8</v>
      </c>
      <c r="AQ68" s="1" t="s">
        <v>421</v>
      </c>
      <c r="AR68" s="5">
        <v>1</v>
      </c>
      <c r="AS68" s="1" t="s">
        <v>421</v>
      </c>
      <c r="AT68" s="5">
        <v>1</v>
      </c>
      <c r="AU68" s="61" t="s">
        <v>592</v>
      </c>
      <c r="AV68" s="75">
        <v>0</v>
      </c>
      <c r="AW68" s="5" t="s">
        <v>430</v>
      </c>
      <c r="AX68" s="285">
        <v>0</v>
      </c>
      <c r="AY68" s="296" t="s">
        <v>414</v>
      </c>
      <c r="AZ68" s="296">
        <v>0</v>
      </c>
      <c r="BA68" s="61" t="s">
        <v>313</v>
      </c>
      <c r="BB68" s="75">
        <v>2</v>
      </c>
      <c r="BC68" s="358" t="s">
        <v>421</v>
      </c>
      <c r="BD68" s="5">
        <v>1</v>
      </c>
      <c r="BE68" s="31" t="s">
        <v>439</v>
      </c>
      <c r="BF68" s="345">
        <v>3</v>
      </c>
      <c r="BG68" s="5" t="s">
        <v>415</v>
      </c>
      <c r="BH68" s="9">
        <v>0</v>
      </c>
      <c r="BI68" s="9" t="s">
        <v>448</v>
      </c>
      <c r="BJ68" s="304">
        <v>0</v>
      </c>
      <c r="BK68" s="5" t="s">
        <v>431</v>
      </c>
      <c r="BL68" s="9">
        <v>0</v>
      </c>
      <c r="BM68" s="75" t="s">
        <v>411</v>
      </c>
      <c r="BN68" s="18">
        <v>0</v>
      </c>
      <c r="BO68" s="5" t="s">
        <v>158</v>
      </c>
      <c r="BP68" s="9">
        <v>2</v>
      </c>
      <c r="BQ68" s="9" t="s">
        <v>277</v>
      </c>
      <c r="BR68" s="9">
        <v>0</v>
      </c>
      <c r="BS68" s="61" t="s">
        <v>624</v>
      </c>
      <c r="BT68" s="75">
        <v>3</v>
      </c>
      <c r="BU68" s="61" t="s">
        <v>426</v>
      </c>
      <c r="BV68" s="18">
        <v>3</v>
      </c>
      <c r="BW68" s="5" t="s">
        <v>439</v>
      </c>
      <c r="BX68" s="9">
        <v>0</v>
      </c>
      <c r="BY68" s="251" t="s">
        <v>303</v>
      </c>
      <c r="BZ68" s="335">
        <v>0.158</v>
      </c>
      <c r="CA68" s="296" t="s">
        <v>416</v>
      </c>
      <c r="CB68" s="336">
        <v>0.39400000000000002</v>
      </c>
      <c r="CC68" s="211" t="s">
        <v>439</v>
      </c>
      <c r="CD68" s="137">
        <v>0.158</v>
      </c>
      <c r="CE68" s="190" t="s">
        <v>438</v>
      </c>
      <c r="CF68" s="245">
        <v>0.54300000000000004</v>
      </c>
      <c r="CG68" s="68" t="s">
        <v>439</v>
      </c>
      <c r="CH68" s="279">
        <v>1.38</v>
      </c>
      <c r="CI68" s="196" t="s">
        <v>412</v>
      </c>
      <c r="CJ68" s="202">
        <v>1.68</v>
      </c>
      <c r="CK68" s="78" t="s">
        <v>421</v>
      </c>
      <c r="CL68" s="326">
        <v>1.6560000000000001</v>
      </c>
      <c r="CM68" s="284"/>
      <c r="CN68" s="1" t="s">
        <v>57</v>
      </c>
      <c r="CO68" s="5">
        <v>11</v>
      </c>
    </row>
    <row r="69" spans="21:94" x14ac:dyDescent="0.3">
      <c r="AJ69" s="1">
        <v>26</v>
      </c>
      <c r="AK69" s="61" t="s">
        <v>446</v>
      </c>
      <c r="AL69" s="18">
        <v>4</v>
      </c>
      <c r="AM69" s="296" t="s">
        <v>592</v>
      </c>
      <c r="AN69" s="61">
        <v>11</v>
      </c>
      <c r="AO69" s="9" t="s">
        <v>421</v>
      </c>
      <c r="AP69" s="9">
        <v>7</v>
      </c>
      <c r="AQ69" s="1" t="s">
        <v>415</v>
      </c>
      <c r="AR69" s="5">
        <v>1</v>
      </c>
      <c r="AS69" s="1" t="s">
        <v>537</v>
      </c>
      <c r="AT69" s="5">
        <v>1</v>
      </c>
      <c r="AU69" s="5" t="s">
        <v>446</v>
      </c>
      <c r="AV69" s="9">
        <v>0</v>
      </c>
      <c r="AW69" s="5" t="s">
        <v>114</v>
      </c>
      <c r="AX69" s="285">
        <v>0</v>
      </c>
      <c r="AY69" s="1" t="s">
        <v>437</v>
      </c>
      <c r="AZ69" s="1">
        <v>0</v>
      </c>
      <c r="BA69" s="61" t="s">
        <v>421</v>
      </c>
      <c r="BB69" s="75">
        <v>1</v>
      </c>
      <c r="BC69" s="358" t="s">
        <v>415</v>
      </c>
      <c r="BD69" s="5">
        <v>1</v>
      </c>
      <c r="BE69" s="61" t="s">
        <v>592</v>
      </c>
      <c r="BF69" s="18">
        <v>2</v>
      </c>
      <c r="BG69" s="5" t="s">
        <v>421</v>
      </c>
      <c r="BH69" s="9">
        <v>0</v>
      </c>
      <c r="BI69" s="9" t="s">
        <v>433</v>
      </c>
      <c r="BJ69" s="304">
        <v>0</v>
      </c>
      <c r="BK69" s="5" t="s">
        <v>413</v>
      </c>
      <c r="BL69" s="9">
        <v>0</v>
      </c>
      <c r="BM69" s="9" t="s">
        <v>159</v>
      </c>
      <c r="BN69" s="304">
        <v>0</v>
      </c>
      <c r="BO69" s="5" t="s">
        <v>553</v>
      </c>
      <c r="BP69" s="9">
        <v>2</v>
      </c>
      <c r="BQ69" s="9" t="s">
        <v>451</v>
      </c>
      <c r="BR69" s="9">
        <v>0</v>
      </c>
      <c r="BS69" s="9" t="s">
        <v>446</v>
      </c>
      <c r="BT69" s="9">
        <v>2</v>
      </c>
      <c r="BU69" s="61" t="s">
        <v>437</v>
      </c>
      <c r="BV69" s="18">
        <v>3</v>
      </c>
      <c r="BW69" s="5" t="s">
        <v>158</v>
      </c>
      <c r="BX69" s="9">
        <v>0</v>
      </c>
      <c r="BY69" s="244" t="s">
        <v>413</v>
      </c>
      <c r="BZ69" s="338">
        <v>0.14699999999999999</v>
      </c>
      <c r="CA69" s="351" t="s">
        <v>597</v>
      </c>
      <c r="CB69" s="317">
        <v>0.33300000000000002</v>
      </c>
      <c r="CC69" s="190" t="s">
        <v>413</v>
      </c>
      <c r="CD69" s="193">
        <v>0.14699999999999999</v>
      </c>
      <c r="CE69" s="78" t="s">
        <v>431</v>
      </c>
      <c r="CF69" s="65">
        <v>0.52870813397129179</v>
      </c>
      <c r="CG69" s="60" t="s">
        <v>431</v>
      </c>
      <c r="CH69" s="76">
        <v>1.3</v>
      </c>
      <c r="CI69" s="5" t="s">
        <v>553</v>
      </c>
      <c r="CJ69" s="56">
        <v>1.65</v>
      </c>
      <c r="CK69" s="78" t="s">
        <v>431</v>
      </c>
      <c r="CL69" s="326">
        <v>1.3159999999999998</v>
      </c>
      <c r="CM69" s="284"/>
      <c r="CN69" s="296" t="s">
        <v>587</v>
      </c>
      <c r="CO69" s="61">
        <v>11</v>
      </c>
    </row>
    <row r="70" spans="21:94" s="147" customFormat="1" x14ac:dyDescent="0.3">
      <c r="U70" s="215"/>
      <c r="AJ70" s="1">
        <v>27</v>
      </c>
      <c r="AK70" s="61" t="s">
        <v>422</v>
      </c>
      <c r="AL70" s="18">
        <v>3</v>
      </c>
      <c r="AM70" s="1" t="s">
        <v>502</v>
      </c>
      <c r="AN70" s="5">
        <v>9</v>
      </c>
      <c r="AO70" s="9" t="s">
        <v>446</v>
      </c>
      <c r="AP70" s="9">
        <v>6</v>
      </c>
      <c r="AQ70" s="1" t="s">
        <v>535</v>
      </c>
      <c r="AR70" s="5">
        <v>1</v>
      </c>
      <c r="AS70" s="1" t="s">
        <v>422</v>
      </c>
      <c r="AT70" s="5">
        <v>0</v>
      </c>
      <c r="AU70" s="31" t="s">
        <v>439</v>
      </c>
      <c r="AV70" s="9">
        <v>0</v>
      </c>
      <c r="AW70" s="5" t="s">
        <v>159</v>
      </c>
      <c r="AX70" s="285">
        <v>0</v>
      </c>
      <c r="AY70" s="296" t="s">
        <v>428</v>
      </c>
      <c r="AZ70" s="296">
        <v>0</v>
      </c>
      <c r="BA70" s="61" t="s">
        <v>541</v>
      </c>
      <c r="BB70" s="75">
        <v>1</v>
      </c>
      <c r="BC70" s="296" t="s">
        <v>592</v>
      </c>
      <c r="BD70" s="61">
        <v>1</v>
      </c>
      <c r="BE70" s="5" t="s">
        <v>422</v>
      </c>
      <c r="BF70" s="345">
        <v>1</v>
      </c>
      <c r="BG70" s="5" t="s">
        <v>448</v>
      </c>
      <c r="BH70" s="9">
        <v>0</v>
      </c>
      <c r="BI70" s="9" t="s">
        <v>435</v>
      </c>
      <c r="BJ70" s="304">
        <v>0</v>
      </c>
      <c r="BK70" s="5" t="s">
        <v>435</v>
      </c>
      <c r="BL70" s="9">
        <v>0</v>
      </c>
      <c r="BM70" s="304" t="s">
        <v>553</v>
      </c>
      <c r="BN70" s="1">
        <v>0</v>
      </c>
      <c r="BO70" s="5" t="s">
        <v>422</v>
      </c>
      <c r="BP70" s="9">
        <v>1</v>
      </c>
      <c r="BQ70" s="9" t="s">
        <v>448</v>
      </c>
      <c r="BR70" s="9">
        <v>0</v>
      </c>
      <c r="BS70" s="9" t="s">
        <v>426</v>
      </c>
      <c r="BT70" s="9">
        <v>2</v>
      </c>
      <c r="BU70" s="61" t="s">
        <v>298</v>
      </c>
      <c r="BV70" s="18">
        <v>3</v>
      </c>
      <c r="BW70" s="61" t="s">
        <v>254</v>
      </c>
      <c r="BX70" s="75">
        <v>0</v>
      </c>
      <c r="BY70" s="310" t="s">
        <v>453</v>
      </c>
      <c r="BZ70" s="337">
        <v>0.14285714285714285</v>
      </c>
      <c r="CA70" s="251" t="s">
        <v>439</v>
      </c>
      <c r="CB70" s="335">
        <v>0.33300000000000002</v>
      </c>
      <c r="CC70" s="78" t="s">
        <v>421</v>
      </c>
      <c r="CD70" s="66">
        <v>0.14285714285714285</v>
      </c>
      <c r="CE70" s="211" t="s">
        <v>439</v>
      </c>
      <c r="CF70" s="394">
        <v>0.49099999999999999</v>
      </c>
      <c r="CG70" s="67" t="s">
        <v>415</v>
      </c>
      <c r="CH70" s="279">
        <v>1.1399999999999999</v>
      </c>
      <c r="CI70" s="68" t="s">
        <v>439</v>
      </c>
      <c r="CJ70" s="253">
        <v>1.1299999999999999</v>
      </c>
      <c r="CK70" s="210" t="s">
        <v>415</v>
      </c>
      <c r="CL70" s="252">
        <v>1.06</v>
      </c>
      <c r="CM70" s="284"/>
      <c r="CN70" s="1" t="s">
        <v>498</v>
      </c>
      <c r="CO70" s="5">
        <v>9</v>
      </c>
    </row>
    <row r="71" spans="21:94" s="154" customFormat="1" x14ac:dyDescent="0.3">
      <c r="U71" s="215"/>
      <c r="AJ71" s="1">
        <v>28</v>
      </c>
      <c r="AK71" s="61" t="s">
        <v>448</v>
      </c>
      <c r="AL71" s="18">
        <v>3</v>
      </c>
      <c r="AM71" s="1" t="s">
        <v>60</v>
      </c>
      <c r="AN71" s="5">
        <v>8</v>
      </c>
      <c r="AO71" s="304" t="s">
        <v>566</v>
      </c>
      <c r="AP71" s="5">
        <v>5</v>
      </c>
      <c r="AQ71" s="1" t="s">
        <v>455</v>
      </c>
      <c r="AR71" s="5">
        <v>0</v>
      </c>
      <c r="AS71" s="1" t="s">
        <v>415</v>
      </c>
      <c r="AT71" s="5">
        <v>0</v>
      </c>
      <c r="AU71" s="5" t="s">
        <v>430</v>
      </c>
      <c r="AV71" s="9">
        <v>0</v>
      </c>
      <c r="AW71" s="61" t="s">
        <v>428</v>
      </c>
      <c r="AX71" s="18">
        <v>0</v>
      </c>
      <c r="AY71" s="1" t="s">
        <v>431</v>
      </c>
      <c r="AZ71" s="1">
        <v>0</v>
      </c>
      <c r="BA71" s="61" t="s">
        <v>422</v>
      </c>
      <c r="BB71" s="75">
        <v>0</v>
      </c>
      <c r="BC71" s="358" t="s">
        <v>446</v>
      </c>
      <c r="BD71" s="5">
        <v>1</v>
      </c>
      <c r="BE71" s="5" t="s">
        <v>446</v>
      </c>
      <c r="BF71" s="345">
        <v>1</v>
      </c>
      <c r="BG71" s="61" t="s">
        <v>592</v>
      </c>
      <c r="BH71" s="75">
        <v>0</v>
      </c>
      <c r="BI71" s="9" t="s">
        <v>416</v>
      </c>
      <c r="BJ71" s="304">
        <v>0</v>
      </c>
      <c r="BK71" s="5" t="s">
        <v>310</v>
      </c>
      <c r="BL71" s="9">
        <v>0</v>
      </c>
      <c r="BM71" s="9" t="s">
        <v>428</v>
      </c>
      <c r="BN71" s="304">
        <v>0</v>
      </c>
      <c r="BO71" s="5" t="s">
        <v>415</v>
      </c>
      <c r="BP71" s="9">
        <v>1</v>
      </c>
      <c r="BQ71" s="9" t="s">
        <v>419</v>
      </c>
      <c r="BR71" s="9">
        <v>0</v>
      </c>
      <c r="BS71" s="1" t="s">
        <v>553</v>
      </c>
      <c r="BT71" s="5">
        <v>2</v>
      </c>
      <c r="BU71" s="61" t="s">
        <v>422</v>
      </c>
      <c r="BV71" s="18">
        <v>2</v>
      </c>
      <c r="BW71" s="5" t="s">
        <v>437</v>
      </c>
      <c r="BX71" s="9">
        <v>0</v>
      </c>
      <c r="BY71" s="310" t="s">
        <v>422</v>
      </c>
      <c r="BZ71" s="337">
        <v>0</v>
      </c>
      <c r="CA71" s="310" t="s">
        <v>431</v>
      </c>
      <c r="CB71" s="337">
        <v>0.31818181818181818</v>
      </c>
      <c r="CC71" s="78" t="s">
        <v>323</v>
      </c>
      <c r="CD71" s="66">
        <v>0</v>
      </c>
      <c r="CE71" s="21" t="s">
        <v>599</v>
      </c>
      <c r="CF71" s="20">
        <v>0.33300000000000002</v>
      </c>
      <c r="CG71" s="5" t="s">
        <v>553</v>
      </c>
      <c r="CH71" s="49">
        <v>0.46</v>
      </c>
      <c r="CI71" s="60" t="s">
        <v>431</v>
      </c>
      <c r="CJ71" s="77">
        <v>0.93</v>
      </c>
      <c r="CK71" s="127" t="s">
        <v>592</v>
      </c>
      <c r="CL71" s="127">
        <v>0.44</v>
      </c>
      <c r="CM71" s="284"/>
      <c r="CN71" s="1" t="s">
        <v>60</v>
      </c>
      <c r="CO71" s="5">
        <v>8</v>
      </c>
    </row>
    <row r="72" spans="21:94" s="152" customFormat="1" x14ac:dyDescent="0.3">
      <c r="U72" s="215"/>
      <c r="AJ72" s="1">
        <v>29</v>
      </c>
      <c r="AK72" s="61" t="s">
        <v>419</v>
      </c>
      <c r="AL72" s="18">
        <v>3</v>
      </c>
      <c r="AM72" s="1" t="s">
        <v>553</v>
      </c>
      <c r="AN72" s="5">
        <v>7</v>
      </c>
      <c r="AO72" s="9" t="s">
        <v>452</v>
      </c>
      <c r="AP72" s="9">
        <v>5</v>
      </c>
      <c r="AQ72" s="1" t="s">
        <v>448</v>
      </c>
      <c r="AR72" s="5">
        <v>0</v>
      </c>
      <c r="AS72" s="1" t="s">
        <v>448</v>
      </c>
      <c r="AT72" s="5">
        <v>0</v>
      </c>
      <c r="AU72" s="5" t="s">
        <v>433</v>
      </c>
      <c r="AV72" s="9">
        <v>0</v>
      </c>
      <c r="AW72" s="5" t="s">
        <v>431</v>
      </c>
      <c r="AX72" s="285">
        <v>0</v>
      </c>
      <c r="AY72" s="1" t="s">
        <v>433</v>
      </c>
      <c r="AZ72" s="1">
        <v>0</v>
      </c>
      <c r="BA72" s="61" t="s">
        <v>446</v>
      </c>
      <c r="BB72" s="75">
        <v>0</v>
      </c>
      <c r="BC72" s="358" t="s">
        <v>553</v>
      </c>
      <c r="BD72" s="5">
        <v>1</v>
      </c>
      <c r="BE72" s="5" t="s">
        <v>421</v>
      </c>
      <c r="BF72" s="345">
        <v>0</v>
      </c>
      <c r="BG72" s="5" t="s">
        <v>446</v>
      </c>
      <c r="BH72" s="9">
        <v>0</v>
      </c>
      <c r="BI72" s="9" t="s">
        <v>410</v>
      </c>
      <c r="BJ72" s="304">
        <v>0</v>
      </c>
      <c r="BK72" s="5" t="s">
        <v>410</v>
      </c>
      <c r="BL72" s="9">
        <v>0</v>
      </c>
      <c r="BM72" s="9" t="s">
        <v>433</v>
      </c>
      <c r="BN72" s="304">
        <v>0</v>
      </c>
      <c r="BO72" s="5" t="s">
        <v>419</v>
      </c>
      <c r="BP72" s="9">
        <v>1</v>
      </c>
      <c r="BQ72" s="9" t="s">
        <v>426</v>
      </c>
      <c r="BR72" s="9">
        <v>0</v>
      </c>
      <c r="BS72" s="9" t="s">
        <v>422</v>
      </c>
      <c r="BT72" s="9">
        <v>1</v>
      </c>
      <c r="BU72" s="61" t="s">
        <v>448</v>
      </c>
      <c r="BV72" s="18">
        <v>2</v>
      </c>
      <c r="BW72" s="5" t="s">
        <v>553</v>
      </c>
      <c r="BX72" s="9">
        <v>0</v>
      </c>
      <c r="BY72" s="311" t="s">
        <v>283</v>
      </c>
      <c r="BZ72" s="335">
        <v>0</v>
      </c>
      <c r="CA72" s="1" t="s">
        <v>553</v>
      </c>
      <c r="CB72" s="317">
        <v>0.28599999999999998</v>
      </c>
      <c r="CC72" s="210" t="s">
        <v>448</v>
      </c>
      <c r="CD72" s="137">
        <v>0</v>
      </c>
      <c r="CE72" s="9" t="s">
        <v>553</v>
      </c>
      <c r="CF72" s="20">
        <v>0.28599999999999998</v>
      </c>
      <c r="CG72" s="61" t="s">
        <v>592</v>
      </c>
      <c r="CH72" s="126">
        <v>0.28999999999999998</v>
      </c>
      <c r="CI72" s="343" t="s">
        <v>592</v>
      </c>
      <c r="CJ72" s="127">
        <v>0.87</v>
      </c>
      <c r="CK72" s="9" t="s">
        <v>553</v>
      </c>
      <c r="CL72" s="56">
        <v>0.4</v>
      </c>
      <c r="CM72" s="284"/>
      <c r="CN72" s="1" t="s">
        <v>550</v>
      </c>
      <c r="CO72" s="5">
        <v>7</v>
      </c>
    </row>
    <row r="73" spans="21:94" s="268" customFormat="1" x14ac:dyDescent="0.3">
      <c r="AJ73" s="1">
        <v>30</v>
      </c>
      <c r="AK73" s="61" t="s">
        <v>553</v>
      </c>
      <c r="AL73" s="18">
        <v>3</v>
      </c>
      <c r="AM73" s="1" t="s">
        <v>10</v>
      </c>
      <c r="AN73" s="5">
        <v>5</v>
      </c>
      <c r="AO73" s="9" t="s">
        <v>422</v>
      </c>
      <c r="AP73" s="9">
        <v>4</v>
      </c>
      <c r="AQ73" s="61" t="s">
        <v>592</v>
      </c>
      <c r="AR73" s="75">
        <v>0</v>
      </c>
      <c r="AS73" s="61" t="s">
        <v>592</v>
      </c>
      <c r="AT73" s="75">
        <v>0</v>
      </c>
      <c r="AU73" s="5" t="s">
        <v>458</v>
      </c>
      <c r="AV73" s="9">
        <v>0</v>
      </c>
      <c r="AW73" s="5" t="s">
        <v>433</v>
      </c>
      <c r="AX73" s="285">
        <v>0</v>
      </c>
      <c r="AY73" s="1" t="s">
        <v>452</v>
      </c>
      <c r="AZ73" s="1">
        <v>0</v>
      </c>
      <c r="BA73" s="61" t="s">
        <v>448</v>
      </c>
      <c r="BB73" s="75">
        <v>0</v>
      </c>
      <c r="BC73" s="358" t="s">
        <v>472</v>
      </c>
      <c r="BD73" s="5">
        <v>1</v>
      </c>
      <c r="BE73" s="5" t="s">
        <v>415</v>
      </c>
      <c r="BF73" s="345">
        <v>0</v>
      </c>
      <c r="BG73" s="31" t="s">
        <v>439</v>
      </c>
      <c r="BH73" s="9">
        <v>0</v>
      </c>
      <c r="BI73" s="75" t="s">
        <v>592</v>
      </c>
      <c r="BJ73" s="75">
        <v>0</v>
      </c>
      <c r="BK73" s="61" t="s">
        <v>592</v>
      </c>
      <c r="BL73" s="75">
        <v>0</v>
      </c>
      <c r="BM73" s="9" t="s">
        <v>452</v>
      </c>
      <c r="BN73" s="18">
        <v>0</v>
      </c>
      <c r="BO73" s="5" t="s">
        <v>446</v>
      </c>
      <c r="BP73" s="9">
        <v>1</v>
      </c>
      <c r="BQ73" s="9" t="s">
        <v>415</v>
      </c>
      <c r="BR73" s="9">
        <v>0</v>
      </c>
      <c r="BS73" s="9" t="s">
        <v>313</v>
      </c>
      <c r="BT73" s="9">
        <v>1</v>
      </c>
      <c r="BU73" s="5" t="s">
        <v>502</v>
      </c>
      <c r="BV73" s="301">
        <v>2</v>
      </c>
      <c r="BW73" s="5" t="s">
        <v>428</v>
      </c>
      <c r="BX73" s="9">
        <v>0</v>
      </c>
      <c r="BY73" s="61" t="s">
        <v>592</v>
      </c>
      <c r="BZ73" s="149">
        <v>0</v>
      </c>
      <c r="CA73" s="310" t="s">
        <v>446</v>
      </c>
      <c r="CB73" s="337">
        <v>0.25</v>
      </c>
      <c r="CC73" s="21" t="s">
        <v>598</v>
      </c>
      <c r="CD73" s="21">
        <v>0</v>
      </c>
      <c r="CE73" s="78" t="s">
        <v>446</v>
      </c>
      <c r="CF73" s="65">
        <v>0.25</v>
      </c>
      <c r="CG73" s="60" t="s">
        <v>446</v>
      </c>
      <c r="CH73" s="76">
        <v>0.08</v>
      </c>
      <c r="CI73" s="60" t="s">
        <v>446</v>
      </c>
      <c r="CJ73" s="77">
        <v>0.23</v>
      </c>
      <c r="CK73" s="78" t="s">
        <v>446</v>
      </c>
      <c r="CL73" s="326">
        <v>0.10000000000000009</v>
      </c>
      <c r="CM73" s="284"/>
      <c r="CN73" s="1" t="s">
        <v>10</v>
      </c>
      <c r="CO73" s="5">
        <v>5</v>
      </c>
    </row>
    <row r="74" spans="21:94" s="290" customFormat="1" x14ac:dyDescent="0.3">
      <c r="AJ74" s="1">
        <v>31</v>
      </c>
      <c r="AK74" s="61" t="s">
        <v>531</v>
      </c>
      <c r="AL74" s="18">
        <v>3</v>
      </c>
      <c r="AM74" s="1" t="s">
        <v>374</v>
      </c>
      <c r="AN74" s="5">
        <v>5</v>
      </c>
      <c r="AO74" s="9" t="s">
        <v>454</v>
      </c>
      <c r="AP74" s="9">
        <v>3</v>
      </c>
      <c r="AQ74" s="1" t="s">
        <v>446</v>
      </c>
      <c r="AR74" s="5">
        <v>0</v>
      </c>
      <c r="AS74" s="1" t="s">
        <v>457</v>
      </c>
      <c r="AT74" s="5">
        <v>0</v>
      </c>
      <c r="AU74" s="5" t="s">
        <v>431</v>
      </c>
      <c r="AV74" s="9">
        <v>0</v>
      </c>
      <c r="AW74" s="5" t="s">
        <v>452</v>
      </c>
      <c r="AX74" s="285">
        <v>0</v>
      </c>
      <c r="AY74" s="1" t="s">
        <v>553</v>
      </c>
      <c r="AZ74" s="1">
        <v>0</v>
      </c>
      <c r="BA74" s="61" t="s">
        <v>553</v>
      </c>
      <c r="BB74" s="75">
        <v>0</v>
      </c>
      <c r="BC74" s="358" t="s">
        <v>422</v>
      </c>
      <c r="BD74" s="5">
        <v>0</v>
      </c>
      <c r="BE74" s="5" t="s">
        <v>448</v>
      </c>
      <c r="BF74" s="345">
        <v>0</v>
      </c>
      <c r="BG74" s="5" t="s">
        <v>159</v>
      </c>
      <c r="BH74" s="9">
        <v>0</v>
      </c>
      <c r="BI74" s="345" t="s">
        <v>553</v>
      </c>
      <c r="BJ74" s="1">
        <v>0</v>
      </c>
      <c r="BK74" s="5" t="s">
        <v>553</v>
      </c>
      <c r="BL74" s="9">
        <v>0</v>
      </c>
      <c r="BM74" s="9" t="s">
        <v>431</v>
      </c>
      <c r="BN74" s="304">
        <v>0</v>
      </c>
      <c r="BO74" s="5" t="s">
        <v>431</v>
      </c>
      <c r="BP74" s="9">
        <v>1</v>
      </c>
      <c r="BQ74" s="304" t="s">
        <v>553</v>
      </c>
      <c r="BR74" s="5">
        <v>0</v>
      </c>
      <c r="BS74" s="9" t="s">
        <v>419</v>
      </c>
      <c r="BT74" s="9">
        <v>1</v>
      </c>
      <c r="BU74" s="1" t="s">
        <v>553</v>
      </c>
      <c r="BV74" s="1">
        <v>1</v>
      </c>
      <c r="BW74" s="5" t="s">
        <v>452</v>
      </c>
      <c r="BX74" s="75">
        <v>0</v>
      </c>
      <c r="BY74" s="310" t="s">
        <v>460</v>
      </c>
      <c r="BZ74" s="337">
        <v>0</v>
      </c>
      <c r="CA74" s="310" t="s">
        <v>323</v>
      </c>
      <c r="CB74" s="337">
        <v>0.2</v>
      </c>
      <c r="CC74" s="78" t="s">
        <v>446</v>
      </c>
      <c r="CD74" s="66">
        <v>0</v>
      </c>
      <c r="CE74" s="78" t="s">
        <v>422</v>
      </c>
      <c r="CF74" s="65">
        <v>0.2</v>
      </c>
      <c r="CG74" s="60" t="s">
        <v>456</v>
      </c>
      <c r="CH74" s="76">
        <v>-0.11</v>
      </c>
      <c r="CI74" s="60" t="s">
        <v>422</v>
      </c>
      <c r="CJ74" s="77">
        <v>-0.49</v>
      </c>
      <c r="CK74" s="78" t="s">
        <v>422</v>
      </c>
      <c r="CL74" s="266">
        <v>-0.04</v>
      </c>
      <c r="CN74" s="1" t="s">
        <v>374</v>
      </c>
      <c r="CO74" s="5">
        <v>5</v>
      </c>
    </row>
    <row r="75" spans="21:94" s="290" customFormat="1" x14ac:dyDescent="0.3">
      <c r="AJ75" s="1">
        <v>32</v>
      </c>
      <c r="AK75" s="61" t="s">
        <v>471</v>
      </c>
      <c r="AL75" s="18">
        <v>2</v>
      </c>
      <c r="AM75" s="1" t="s">
        <v>55</v>
      </c>
      <c r="AN75" s="5">
        <v>3</v>
      </c>
      <c r="AO75" s="9" t="s">
        <v>533</v>
      </c>
      <c r="AP75" s="9">
        <v>3</v>
      </c>
      <c r="AQ75" s="1" t="s">
        <v>553</v>
      </c>
      <c r="AR75" s="5">
        <v>0</v>
      </c>
      <c r="AS75" s="1" t="s">
        <v>553</v>
      </c>
      <c r="AT75" s="5">
        <v>0</v>
      </c>
      <c r="AU75" s="1" t="s">
        <v>553</v>
      </c>
      <c r="AV75" s="5">
        <v>0</v>
      </c>
      <c r="AW75" s="1" t="s">
        <v>553</v>
      </c>
      <c r="AX75" s="5">
        <v>0</v>
      </c>
      <c r="AY75" s="1" t="s">
        <v>413</v>
      </c>
      <c r="AZ75" s="1">
        <v>0</v>
      </c>
      <c r="BA75" s="61" t="s">
        <v>433</v>
      </c>
      <c r="BB75" s="75">
        <v>0</v>
      </c>
      <c r="BC75" s="358" t="s">
        <v>459</v>
      </c>
      <c r="BD75" s="5">
        <v>0</v>
      </c>
      <c r="BE75" s="5" t="s">
        <v>553</v>
      </c>
      <c r="BF75" s="345">
        <v>0</v>
      </c>
      <c r="BG75" s="5" t="s">
        <v>433</v>
      </c>
      <c r="BH75" s="9">
        <v>0</v>
      </c>
      <c r="BI75" s="9" t="s">
        <v>452</v>
      </c>
      <c r="BJ75" s="304">
        <v>0</v>
      </c>
      <c r="BK75" s="5" t="s">
        <v>452</v>
      </c>
      <c r="BL75" s="9">
        <v>0</v>
      </c>
      <c r="BM75" s="75" t="s">
        <v>413</v>
      </c>
      <c r="BN75" s="18">
        <v>0</v>
      </c>
      <c r="BO75" s="5" t="s">
        <v>283</v>
      </c>
      <c r="BP75" s="9">
        <v>0</v>
      </c>
      <c r="BQ75" s="9" t="s">
        <v>433</v>
      </c>
      <c r="BR75" s="9">
        <v>0</v>
      </c>
      <c r="BS75" s="9" t="s">
        <v>448</v>
      </c>
      <c r="BT75" s="9">
        <v>0</v>
      </c>
      <c r="BU75" s="61" t="s">
        <v>415</v>
      </c>
      <c r="BV75" s="18">
        <v>0</v>
      </c>
      <c r="BW75" s="61" t="s">
        <v>293</v>
      </c>
      <c r="BX75" s="75">
        <v>0</v>
      </c>
      <c r="BY75" s="1" t="s">
        <v>553</v>
      </c>
      <c r="BZ75" s="317">
        <v>0</v>
      </c>
      <c r="CA75" s="311" t="s">
        <v>448</v>
      </c>
      <c r="CB75" s="335">
        <v>0</v>
      </c>
      <c r="CC75" s="9" t="s">
        <v>553</v>
      </c>
      <c r="CD75" s="21">
        <v>0</v>
      </c>
      <c r="CE75" s="210" t="s">
        <v>448</v>
      </c>
      <c r="CF75" s="394">
        <v>0</v>
      </c>
      <c r="CG75" s="67" t="s">
        <v>448</v>
      </c>
      <c r="CH75" s="279">
        <v>-0.32</v>
      </c>
      <c r="CI75" s="67" t="s">
        <v>448</v>
      </c>
      <c r="CJ75" s="253">
        <v>-1.9</v>
      </c>
      <c r="CK75" s="210" t="s">
        <v>448</v>
      </c>
      <c r="CL75" s="211">
        <v>-0.28999999999999998</v>
      </c>
      <c r="CN75" s="1" t="s">
        <v>55</v>
      </c>
      <c r="CO75" s="5">
        <v>3</v>
      </c>
    </row>
    <row r="76" spans="21:94" s="290" customFormat="1" x14ac:dyDescent="0.3">
      <c r="AJ76" s="1">
        <v>33</v>
      </c>
      <c r="AK76" s="61" t="s">
        <v>530</v>
      </c>
      <c r="AL76" s="18">
        <v>1</v>
      </c>
      <c r="AM76" s="1" t="s">
        <v>47</v>
      </c>
      <c r="AN76" s="5">
        <v>2</v>
      </c>
      <c r="AO76" s="9" t="s">
        <v>433</v>
      </c>
      <c r="AP76" s="9">
        <v>2</v>
      </c>
      <c r="AQ76" s="1" t="s">
        <v>461</v>
      </c>
      <c r="AR76" s="5">
        <v>0</v>
      </c>
      <c r="AS76" s="1" t="s">
        <v>433</v>
      </c>
      <c r="AT76" s="5">
        <v>0</v>
      </c>
      <c r="AU76" s="5" t="s">
        <v>512</v>
      </c>
      <c r="AV76" s="9">
        <v>0</v>
      </c>
      <c r="AW76" s="5" t="s">
        <v>512</v>
      </c>
      <c r="AX76" s="9">
        <v>0</v>
      </c>
      <c r="AY76" s="1" t="s">
        <v>502</v>
      </c>
      <c r="AZ76" s="1">
        <v>0</v>
      </c>
      <c r="BA76" s="61" t="s">
        <v>592</v>
      </c>
      <c r="BB76" s="75">
        <v>0</v>
      </c>
      <c r="BC76" s="358" t="s">
        <v>516</v>
      </c>
      <c r="BD76" s="5">
        <v>0</v>
      </c>
      <c r="BE76" s="5" t="s">
        <v>433</v>
      </c>
      <c r="BF76" s="345">
        <v>0</v>
      </c>
      <c r="BG76" s="5" t="s">
        <v>514</v>
      </c>
      <c r="BH76" s="9">
        <v>0</v>
      </c>
      <c r="BI76" s="9" t="s">
        <v>502</v>
      </c>
      <c r="BJ76" s="304">
        <v>0</v>
      </c>
      <c r="BK76" s="5" t="s">
        <v>502</v>
      </c>
      <c r="BL76" s="9">
        <v>0</v>
      </c>
      <c r="BM76" s="9" t="s">
        <v>498</v>
      </c>
      <c r="BN76" s="18">
        <v>0</v>
      </c>
      <c r="BO76" s="5" t="s">
        <v>433</v>
      </c>
      <c r="BP76" s="9">
        <v>0</v>
      </c>
      <c r="BQ76" s="75" t="s">
        <v>592</v>
      </c>
      <c r="BR76" s="75">
        <v>0</v>
      </c>
      <c r="BS76" s="9" t="s">
        <v>314</v>
      </c>
      <c r="BT76" s="9">
        <v>0</v>
      </c>
      <c r="BU76" s="61" t="s">
        <v>419</v>
      </c>
      <c r="BV76" s="18">
        <v>0</v>
      </c>
      <c r="BW76" s="5" t="s">
        <v>502</v>
      </c>
      <c r="BX76" s="75">
        <v>0</v>
      </c>
      <c r="BY76" s="310" t="s">
        <v>433</v>
      </c>
      <c r="BZ76" s="337">
        <v>0</v>
      </c>
      <c r="CA76" s="310" t="s">
        <v>433</v>
      </c>
      <c r="CB76" s="337">
        <v>0</v>
      </c>
      <c r="CC76" s="78" t="s">
        <v>314</v>
      </c>
      <c r="CD76" s="66">
        <v>0</v>
      </c>
      <c r="CE76" s="78" t="s">
        <v>433</v>
      </c>
      <c r="CF76" s="65">
        <v>0</v>
      </c>
      <c r="CG76" s="5" t="s">
        <v>452</v>
      </c>
      <c r="CH76" s="49">
        <v>-0.53</v>
      </c>
      <c r="CI76" s="5" t="s">
        <v>452</v>
      </c>
      <c r="CJ76" s="56">
        <v>-1.92</v>
      </c>
      <c r="CK76" s="9" t="s">
        <v>452</v>
      </c>
      <c r="CL76" s="103">
        <v>-0.48</v>
      </c>
      <c r="CN76" s="1" t="s">
        <v>47</v>
      </c>
      <c r="CO76" s="5">
        <v>2</v>
      </c>
    </row>
    <row r="77" spans="21:94" s="104" customFormat="1" ht="17.25" thickBot="1" x14ac:dyDescent="0.35">
      <c r="U77" s="215"/>
      <c r="AD77" s="25"/>
      <c r="AE77" s="25"/>
      <c r="AJ77" s="3">
        <v>34</v>
      </c>
      <c r="AK77" s="128" t="s">
        <v>314</v>
      </c>
      <c r="AL77" s="306">
        <v>1</v>
      </c>
      <c r="AM77" s="3" t="s">
        <v>314</v>
      </c>
      <c r="AN77" s="7">
        <v>2</v>
      </c>
      <c r="AO77" s="10" t="s">
        <v>565</v>
      </c>
      <c r="AP77" s="10">
        <v>1</v>
      </c>
      <c r="AQ77" s="3" t="s">
        <v>505</v>
      </c>
      <c r="AR77" s="7">
        <v>0</v>
      </c>
      <c r="AS77" s="3" t="s">
        <v>508</v>
      </c>
      <c r="AT77" s="7">
        <v>0</v>
      </c>
      <c r="AU77" s="7" t="s">
        <v>507</v>
      </c>
      <c r="AV77" s="10">
        <v>0</v>
      </c>
      <c r="AW77" s="7" t="s">
        <v>507</v>
      </c>
      <c r="AX77" s="283">
        <v>0</v>
      </c>
      <c r="AY77" s="3" t="s">
        <v>425</v>
      </c>
      <c r="AZ77" s="3">
        <v>0</v>
      </c>
      <c r="BA77" s="128" t="s">
        <v>514</v>
      </c>
      <c r="BB77" s="125">
        <v>0</v>
      </c>
      <c r="BC77" s="354" t="s">
        <v>515</v>
      </c>
      <c r="BD77" s="7">
        <v>0</v>
      </c>
      <c r="BE77" s="7" t="s">
        <v>452</v>
      </c>
      <c r="BF77" s="344">
        <v>0</v>
      </c>
      <c r="BG77" s="7" t="s">
        <v>513</v>
      </c>
      <c r="BH77" s="10">
        <v>0</v>
      </c>
      <c r="BI77" s="10" t="s">
        <v>425</v>
      </c>
      <c r="BJ77" s="302">
        <v>0</v>
      </c>
      <c r="BK77" s="7" t="s">
        <v>462</v>
      </c>
      <c r="BL77" s="10">
        <v>0</v>
      </c>
      <c r="BM77" s="10" t="s">
        <v>425</v>
      </c>
      <c r="BN77" s="302">
        <v>0</v>
      </c>
      <c r="BO77" s="7" t="s">
        <v>526</v>
      </c>
      <c r="BP77" s="10">
        <v>0</v>
      </c>
      <c r="BQ77" s="10" t="s">
        <v>514</v>
      </c>
      <c r="BR77" s="10">
        <v>0</v>
      </c>
      <c r="BS77" s="10" t="s">
        <v>525</v>
      </c>
      <c r="BT77" s="10">
        <v>0</v>
      </c>
      <c r="BU77" s="128" t="s">
        <v>433</v>
      </c>
      <c r="BV77" s="306">
        <v>0</v>
      </c>
      <c r="BW77" s="7" t="s">
        <v>425</v>
      </c>
      <c r="BX77" s="10">
        <v>0</v>
      </c>
      <c r="BY77" s="3" t="s">
        <v>528</v>
      </c>
      <c r="BZ77" s="308">
        <v>0</v>
      </c>
      <c r="CA77" s="327" t="s">
        <v>452</v>
      </c>
      <c r="CB77" s="339">
        <v>0</v>
      </c>
      <c r="CC77" s="10" t="s">
        <v>528</v>
      </c>
      <c r="CD77" s="55">
        <v>0</v>
      </c>
      <c r="CE77" s="125" t="s">
        <v>452</v>
      </c>
      <c r="CF77" s="396">
        <v>0</v>
      </c>
      <c r="CG77" s="297" t="s">
        <v>433</v>
      </c>
      <c r="CH77" s="403">
        <v>-0.53</v>
      </c>
      <c r="CI77" s="297" t="s">
        <v>433</v>
      </c>
      <c r="CJ77" s="321">
        <v>-3.2</v>
      </c>
      <c r="CK77" s="397" t="s">
        <v>433</v>
      </c>
      <c r="CL77" s="267">
        <v>-0.55000000000000004</v>
      </c>
      <c r="CM77" s="285"/>
      <c r="CN77" s="3" t="s">
        <v>314</v>
      </c>
      <c r="CO77" s="7">
        <v>2</v>
      </c>
      <c r="CP77" s="108"/>
    </row>
    <row r="78" spans="21:94" x14ac:dyDescent="0.3">
      <c r="AD78" s="25"/>
      <c r="AE78" s="25"/>
    </row>
    <row r="79" spans="21:94" x14ac:dyDescent="0.3">
      <c r="AD79" s="25"/>
      <c r="AE79" s="25"/>
      <c r="AF79" s="57"/>
      <c r="AV79" s="4"/>
      <c r="BL79" s="441" t="s">
        <v>372</v>
      </c>
      <c r="BM79" s="441"/>
      <c r="BN79" s="441"/>
      <c r="BO79" s="441"/>
      <c r="BP79" s="441"/>
      <c r="BQ79" s="441"/>
      <c r="BR79" s="441"/>
      <c r="BS79" s="441"/>
      <c r="BT79" s="441"/>
      <c r="BU79" s="441"/>
      <c r="BV79" s="441"/>
      <c r="BW79" s="441"/>
      <c r="BX79" s="441"/>
      <c r="BY79" s="441"/>
      <c r="BZ79" s="441"/>
      <c r="CA79" s="441"/>
      <c r="CB79" s="441"/>
      <c r="CC79" s="441"/>
      <c r="CD79" s="441"/>
      <c r="CE79" s="441"/>
      <c r="CF79" s="441"/>
      <c r="CG79" s="441"/>
      <c r="CH79" s="441"/>
      <c r="CI79" s="441"/>
      <c r="CJ79" s="441"/>
      <c r="CK79" s="441"/>
      <c r="CL79" s="441"/>
      <c r="CM79" s="441"/>
    </row>
    <row r="80" spans="21:94" ht="17.25" thickBot="1" x14ac:dyDescent="0.35">
      <c r="AD80" s="25"/>
      <c r="AE80" s="25"/>
      <c r="AF80" s="59"/>
      <c r="AV80" s="4"/>
      <c r="AY80" s="203"/>
      <c r="AZ80" s="203"/>
      <c r="BL80" s="442"/>
      <c r="BM80" s="442"/>
      <c r="BN80" s="442"/>
      <c r="BO80" s="442"/>
      <c r="BP80" s="442"/>
      <c r="BQ80" s="442"/>
      <c r="BR80" s="442"/>
      <c r="BS80" s="442"/>
      <c r="BT80" s="442"/>
      <c r="BU80" s="442"/>
      <c r="BV80" s="442"/>
      <c r="BW80" s="442"/>
      <c r="BX80" s="442"/>
      <c r="BY80" s="442"/>
      <c r="BZ80" s="442"/>
      <c r="CA80" s="442"/>
      <c r="CB80" s="442"/>
      <c r="CC80" s="442"/>
      <c r="CD80" s="442"/>
      <c r="CE80" s="442"/>
      <c r="CF80" s="442"/>
      <c r="CG80" s="442"/>
      <c r="CH80" s="442"/>
      <c r="CI80" s="442"/>
      <c r="CJ80" s="442"/>
      <c r="CK80" s="442"/>
      <c r="CL80" s="442"/>
      <c r="CM80" s="442"/>
    </row>
    <row r="81" spans="21:93" ht="17.25" thickBot="1" x14ac:dyDescent="0.35">
      <c r="AF81" s="57"/>
      <c r="AV81" s="4"/>
      <c r="BL81" s="29" t="s">
        <v>77</v>
      </c>
      <c r="BM81" s="58" t="s">
        <v>76</v>
      </c>
      <c r="BN81" s="14" t="s">
        <v>78</v>
      </c>
      <c r="BO81" s="227" t="s">
        <v>79</v>
      </c>
      <c r="BP81" s="13" t="s">
        <v>80</v>
      </c>
      <c r="BQ81" s="13" t="s">
        <v>81</v>
      </c>
      <c r="BR81" s="13" t="s">
        <v>82</v>
      </c>
      <c r="BS81" s="13" t="s">
        <v>83</v>
      </c>
      <c r="BT81" s="13" t="s">
        <v>84</v>
      </c>
      <c r="BU81" s="13" t="s">
        <v>85</v>
      </c>
      <c r="BV81" s="13" t="s">
        <v>86</v>
      </c>
      <c r="BW81" s="13" t="s">
        <v>87</v>
      </c>
      <c r="BX81" s="13" t="s">
        <v>88</v>
      </c>
      <c r="BY81" s="13" t="s">
        <v>89</v>
      </c>
      <c r="BZ81" s="13" t="s">
        <v>90</v>
      </c>
      <c r="CA81" s="187" t="s">
        <v>91</v>
      </c>
      <c r="CB81" s="187" t="s">
        <v>92</v>
      </c>
      <c r="CC81" s="13" t="s">
        <v>93</v>
      </c>
      <c r="CD81" s="13" t="s">
        <v>94</v>
      </c>
      <c r="CE81" s="276" t="s">
        <v>324</v>
      </c>
      <c r="CF81" s="13" t="s">
        <v>95</v>
      </c>
      <c r="CG81" s="15" t="s">
        <v>96</v>
      </c>
      <c r="CH81" s="14" t="s">
        <v>97</v>
      </c>
      <c r="CI81" s="188" t="s">
        <v>98</v>
      </c>
      <c r="CJ81" s="188" t="s">
        <v>99</v>
      </c>
      <c r="CK81" s="349" t="s">
        <v>36</v>
      </c>
      <c r="CL81" s="347" t="s">
        <v>118</v>
      </c>
      <c r="CM81" s="349" t="s">
        <v>286</v>
      </c>
      <c r="CN81" s="348" t="s">
        <v>119</v>
      </c>
      <c r="CO81" s="346"/>
    </row>
    <row r="82" spans="21:93" x14ac:dyDescent="0.3">
      <c r="AF82" s="57"/>
      <c r="BK82" s="4">
        <v>1</v>
      </c>
      <c r="BL82" s="365">
        <v>10</v>
      </c>
      <c r="BM82" s="366" t="s">
        <v>117</v>
      </c>
      <c r="BN82" s="287">
        <f>D3+AE3+BH3+CK3+DN3</f>
        <v>11</v>
      </c>
      <c r="BO82" s="287">
        <f>E3+AF3+BI3+CL3+DO3</f>
        <v>25</v>
      </c>
      <c r="BP82" s="287">
        <f t="shared" ref="BP82:CG95" si="68">F3+AG3+BJ3+CM3+DP3</f>
        <v>19</v>
      </c>
      <c r="BQ82" s="287">
        <f t="shared" si="68"/>
        <v>4</v>
      </c>
      <c r="BR82" s="287">
        <f t="shared" si="68"/>
        <v>4</v>
      </c>
      <c r="BS82" s="287">
        <f t="shared" si="68"/>
        <v>0</v>
      </c>
      <c r="BT82" s="287">
        <f t="shared" si="68"/>
        <v>0</v>
      </c>
      <c r="BU82" s="287">
        <f t="shared" si="68"/>
        <v>0</v>
      </c>
      <c r="BV82" s="287">
        <f t="shared" si="68"/>
        <v>4</v>
      </c>
      <c r="BW82" s="287">
        <f t="shared" si="68"/>
        <v>5</v>
      </c>
      <c r="BX82" s="287">
        <f t="shared" si="68"/>
        <v>7</v>
      </c>
      <c r="BY82" s="287">
        <f t="shared" si="68"/>
        <v>1</v>
      </c>
      <c r="BZ82" s="287">
        <f t="shared" si="68"/>
        <v>0</v>
      </c>
      <c r="CA82" s="287">
        <f t="shared" si="68"/>
        <v>0</v>
      </c>
      <c r="CB82" s="287">
        <f t="shared" si="68"/>
        <v>0</v>
      </c>
      <c r="CC82" s="287">
        <f t="shared" si="68"/>
        <v>4</v>
      </c>
      <c r="CD82" s="287">
        <f t="shared" si="68"/>
        <v>2</v>
      </c>
      <c r="CE82" s="287">
        <f t="shared" si="68"/>
        <v>6</v>
      </c>
      <c r="CF82" s="287">
        <f t="shared" si="68"/>
        <v>11</v>
      </c>
      <c r="CG82" s="287">
        <f t="shared" si="68"/>
        <v>1</v>
      </c>
      <c r="CH82" s="367">
        <f t="shared" ref="CH82:CH115" si="69">BQ82/BP82</f>
        <v>0.21052631578947367</v>
      </c>
      <c r="CI82" s="368">
        <f t="shared" ref="CI82:CI115" si="70">(BQ82+CC82+CD82)/(BP82+CC82+CD82+CB82)</f>
        <v>0.4</v>
      </c>
      <c r="CJ82" s="368">
        <f t="shared" ref="CJ82:CJ115" si="71">BV82/BP82</f>
        <v>0.21052631578947367</v>
      </c>
      <c r="CK82" s="369">
        <f>CI82+CJ82</f>
        <v>0.61052631578947369</v>
      </c>
      <c r="CL82" s="370">
        <f t="shared" ref="CL82:CL115" si="72">((BQ82+CC82+CD82-BZ82-CG82)+((BP82+BQ82+CC82+CA82+CB82)*2.4))*((BV82+((CC82+CD82)*0.26)+((BY82+CA82+CB82)*0.52)+((CA82+CB82)*0.53)+(BY82*0.64)-(CF82*0.03))+(BP82+BQ82+CC82+CA82+CB82)*3)/((BP82+BQ82+CC82+CA82+CB82)*9)-((BP82+BQ82+CC82+CA82+CB82)*0.9)</f>
        <v>2.2406666666666659</v>
      </c>
      <c r="CM82" s="370">
        <f t="shared" ref="CM82:CM115" si="73">(CL82*18)/(BP82+BQ82+CA82+CB82+BZ82+CG82)</f>
        <v>1.6804999999999994</v>
      </c>
      <c r="CN82" s="371">
        <f t="shared" ref="CN82:CN115" si="74">(BR82*0.5)+(BS82*0.72)+(BT82*1.04)+(BU82*1.44)+((CC82+CD82)*0.34)+(BY82*0.18)-(BZ82*0.32)-((BP82-BQ82-CF82)*0.09)-(CF82*0.098)-(CG82*0.37)+(CB82*0.37)+(CA82*0.04)</f>
        <v>2.4119999999999999</v>
      </c>
      <c r="CO82" s="366" t="s">
        <v>117</v>
      </c>
    </row>
    <row r="83" spans="21:93" s="154" customFormat="1" x14ac:dyDescent="0.3">
      <c r="U83" s="215"/>
      <c r="AY83" s="203"/>
      <c r="AZ83" s="203"/>
      <c r="BK83" s="154">
        <v>2</v>
      </c>
      <c r="BL83" s="5">
        <v>28</v>
      </c>
      <c r="BM83" s="9" t="s">
        <v>312</v>
      </c>
      <c r="BN83" s="18">
        <f t="shared" ref="BN83:BN115" si="75">D4+AE4+BH4+CK4+DN4</f>
        <v>36</v>
      </c>
      <c r="BO83" s="18">
        <f t="shared" ref="BO83:BO115" si="76">E4+AF4+BI4+CL4+DO4</f>
        <v>106</v>
      </c>
      <c r="BP83" s="18">
        <f t="shared" si="68"/>
        <v>83</v>
      </c>
      <c r="BQ83" s="18">
        <f t="shared" si="68"/>
        <v>22</v>
      </c>
      <c r="BR83" s="18">
        <f t="shared" si="68"/>
        <v>13</v>
      </c>
      <c r="BS83" s="18">
        <f t="shared" si="68"/>
        <v>6</v>
      </c>
      <c r="BT83" s="18">
        <f t="shared" si="68"/>
        <v>3</v>
      </c>
      <c r="BU83" s="18">
        <f t="shared" si="68"/>
        <v>0</v>
      </c>
      <c r="BV83" s="18">
        <f t="shared" si="68"/>
        <v>34</v>
      </c>
      <c r="BW83" s="18">
        <f t="shared" si="68"/>
        <v>18</v>
      </c>
      <c r="BX83" s="18">
        <f t="shared" si="68"/>
        <v>30</v>
      </c>
      <c r="BY83" s="18">
        <f t="shared" si="68"/>
        <v>9</v>
      </c>
      <c r="BZ83" s="18">
        <f t="shared" si="68"/>
        <v>0</v>
      </c>
      <c r="CA83" s="18">
        <f t="shared" si="68"/>
        <v>0</v>
      </c>
      <c r="CB83" s="18">
        <f t="shared" si="68"/>
        <v>2</v>
      </c>
      <c r="CC83" s="18">
        <f t="shared" si="68"/>
        <v>12</v>
      </c>
      <c r="CD83" s="18">
        <f t="shared" si="68"/>
        <v>9</v>
      </c>
      <c r="CE83" s="18">
        <f t="shared" si="68"/>
        <v>21</v>
      </c>
      <c r="CF83" s="18">
        <f t="shared" si="68"/>
        <v>41</v>
      </c>
      <c r="CG83" s="18">
        <f t="shared" si="68"/>
        <v>0</v>
      </c>
      <c r="CH83" s="19">
        <f t="shared" si="69"/>
        <v>0.26506024096385544</v>
      </c>
      <c r="CI83" s="20">
        <f t="shared" si="70"/>
        <v>0.40566037735849059</v>
      </c>
      <c r="CJ83" s="20">
        <f t="shared" si="71"/>
        <v>0.40963855421686746</v>
      </c>
      <c r="CK83" s="21">
        <f>CI83+CJ83</f>
        <v>0.81529893157535804</v>
      </c>
      <c r="CL83" s="49">
        <f t="shared" si="72"/>
        <v>18.010384687208187</v>
      </c>
      <c r="CM83" s="49">
        <f t="shared" si="73"/>
        <v>3.0297843399041811</v>
      </c>
      <c r="CN83" s="56">
        <f t="shared" si="74"/>
        <v>17.622</v>
      </c>
      <c r="CO83" s="9" t="s">
        <v>311</v>
      </c>
    </row>
    <row r="84" spans="21:93" x14ac:dyDescent="0.3">
      <c r="AR84" s="154"/>
      <c r="AS84" s="154"/>
      <c r="AT84" s="154"/>
      <c r="AY84" s="154"/>
      <c r="AZ84" s="154"/>
      <c r="BE84" s="154"/>
      <c r="BK84" s="154">
        <v>3</v>
      </c>
      <c r="BL84" s="5">
        <v>40</v>
      </c>
      <c r="BM84" s="9" t="s">
        <v>73</v>
      </c>
      <c r="BN84" s="18">
        <f t="shared" si="75"/>
        <v>44</v>
      </c>
      <c r="BO84" s="18">
        <f t="shared" si="76"/>
        <v>131</v>
      </c>
      <c r="BP84" s="18">
        <f t="shared" si="68"/>
        <v>109</v>
      </c>
      <c r="BQ84" s="18">
        <f t="shared" si="68"/>
        <v>21</v>
      </c>
      <c r="BR84" s="18">
        <f t="shared" si="68"/>
        <v>19</v>
      </c>
      <c r="BS84" s="18">
        <f t="shared" si="68"/>
        <v>2</v>
      </c>
      <c r="BT84" s="18">
        <f t="shared" si="68"/>
        <v>0</v>
      </c>
      <c r="BU84" s="18">
        <f t="shared" si="68"/>
        <v>0</v>
      </c>
      <c r="BV84" s="18">
        <f t="shared" si="68"/>
        <v>23</v>
      </c>
      <c r="BW84" s="18">
        <f t="shared" si="68"/>
        <v>15</v>
      </c>
      <c r="BX84" s="18">
        <f t="shared" si="68"/>
        <v>29</v>
      </c>
      <c r="BY84" s="18">
        <f t="shared" si="68"/>
        <v>25</v>
      </c>
      <c r="BZ84" s="18">
        <f t="shared" si="68"/>
        <v>1</v>
      </c>
      <c r="CA84" s="18">
        <f t="shared" si="68"/>
        <v>0</v>
      </c>
      <c r="CB84" s="18">
        <f t="shared" si="68"/>
        <v>0</v>
      </c>
      <c r="CC84" s="18">
        <f t="shared" si="68"/>
        <v>17</v>
      </c>
      <c r="CD84" s="18">
        <f t="shared" si="68"/>
        <v>5</v>
      </c>
      <c r="CE84" s="18">
        <f t="shared" si="68"/>
        <v>22</v>
      </c>
      <c r="CF84" s="18">
        <f t="shared" si="68"/>
        <v>39</v>
      </c>
      <c r="CG84" s="18">
        <f t="shared" si="68"/>
        <v>0</v>
      </c>
      <c r="CH84" s="19">
        <f t="shared" si="69"/>
        <v>0.19266055045871561</v>
      </c>
      <c r="CI84" s="20">
        <f t="shared" si="70"/>
        <v>0.3282442748091603</v>
      </c>
      <c r="CJ84" s="20">
        <f t="shared" si="71"/>
        <v>0.21100917431192662</v>
      </c>
      <c r="CK84" s="21">
        <f t="shared" ref="CK84:CK114" si="77">CI84+CJ84</f>
        <v>0.53925344912108697</v>
      </c>
      <c r="CL84" s="49">
        <f t="shared" si="72"/>
        <v>16.175238095238086</v>
      </c>
      <c r="CM84" s="49">
        <f t="shared" si="73"/>
        <v>2.2225517993456911</v>
      </c>
      <c r="CN84" s="56">
        <f t="shared" si="74"/>
        <v>14.368000000000002</v>
      </c>
      <c r="CO84" s="9" t="s">
        <v>73</v>
      </c>
    </row>
    <row r="85" spans="21:93" s="152" customFormat="1" x14ac:dyDescent="0.3">
      <c r="U85" s="215"/>
      <c r="AQ85" s="4"/>
      <c r="AR85" s="154"/>
      <c r="AS85" s="154"/>
      <c r="AT85" s="154"/>
      <c r="AW85" s="154"/>
      <c r="AX85" s="154"/>
      <c r="AY85" s="154"/>
      <c r="AZ85" s="154"/>
      <c r="BE85" s="154"/>
      <c r="BF85" s="154"/>
      <c r="BI85" s="59"/>
      <c r="BK85" s="154">
        <v>4</v>
      </c>
      <c r="BL85" s="5">
        <v>84</v>
      </c>
      <c r="BM85" s="9" t="s">
        <v>308</v>
      </c>
      <c r="BN85" s="18">
        <f t="shared" si="75"/>
        <v>13</v>
      </c>
      <c r="BO85" s="18">
        <f t="shared" si="76"/>
        <v>45</v>
      </c>
      <c r="BP85" s="18">
        <f t="shared" si="68"/>
        <v>38</v>
      </c>
      <c r="BQ85" s="18">
        <f t="shared" si="68"/>
        <v>14</v>
      </c>
      <c r="BR85" s="18">
        <f t="shared" si="68"/>
        <v>8</v>
      </c>
      <c r="BS85" s="18">
        <f t="shared" si="68"/>
        <v>5</v>
      </c>
      <c r="BT85" s="18">
        <f t="shared" si="68"/>
        <v>0</v>
      </c>
      <c r="BU85" s="18">
        <f t="shared" si="68"/>
        <v>1</v>
      </c>
      <c r="BV85" s="18">
        <f t="shared" si="68"/>
        <v>22</v>
      </c>
      <c r="BW85" s="18">
        <f t="shared" si="68"/>
        <v>20</v>
      </c>
      <c r="BX85" s="18">
        <f t="shared" si="68"/>
        <v>12</v>
      </c>
      <c r="BY85" s="18">
        <f t="shared" si="68"/>
        <v>5</v>
      </c>
      <c r="BZ85" s="18">
        <f t="shared" si="68"/>
        <v>0</v>
      </c>
      <c r="CA85" s="18">
        <f t="shared" si="68"/>
        <v>0</v>
      </c>
      <c r="CB85" s="18">
        <f t="shared" si="68"/>
        <v>2</v>
      </c>
      <c r="CC85" s="18">
        <f t="shared" si="68"/>
        <v>5</v>
      </c>
      <c r="CD85" s="18">
        <f t="shared" si="68"/>
        <v>0</v>
      </c>
      <c r="CE85" s="18">
        <f t="shared" si="68"/>
        <v>5</v>
      </c>
      <c r="CF85" s="18">
        <f t="shared" si="68"/>
        <v>4</v>
      </c>
      <c r="CG85" s="18">
        <f t="shared" si="68"/>
        <v>0</v>
      </c>
      <c r="CH85" s="19">
        <f t="shared" si="69"/>
        <v>0.36842105263157893</v>
      </c>
      <c r="CI85" s="20">
        <f t="shared" si="70"/>
        <v>0.42222222222222222</v>
      </c>
      <c r="CJ85" s="20">
        <f t="shared" si="71"/>
        <v>0.57894736842105265</v>
      </c>
      <c r="CK85" s="21">
        <f t="shared" si="77"/>
        <v>1.0011695906432749</v>
      </c>
      <c r="CL85" s="49">
        <f t="shared" si="72"/>
        <v>9.8334237288135427</v>
      </c>
      <c r="CM85" s="49">
        <f t="shared" si="73"/>
        <v>3.2778079096045141</v>
      </c>
      <c r="CN85" s="56">
        <f t="shared" si="74"/>
        <v>10.188000000000001</v>
      </c>
      <c r="CO85" s="9" t="s">
        <v>309</v>
      </c>
    </row>
    <row r="86" spans="21:93" x14ac:dyDescent="0.3">
      <c r="AR86" s="154"/>
      <c r="AS86" s="154"/>
      <c r="AT86" s="154"/>
      <c r="AW86" s="154"/>
      <c r="AX86" s="154"/>
      <c r="AY86" s="154"/>
      <c r="AZ86" s="154"/>
      <c r="BE86" s="154"/>
      <c r="BF86" s="154"/>
      <c r="BK86" s="154">
        <v>5</v>
      </c>
      <c r="BL86" s="60">
        <v>17</v>
      </c>
      <c r="BM86" s="78" t="s">
        <v>10</v>
      </c>
      <c r="BN86" s="363">
        <f t="shared" si="75"/>
        <v>3</v>
      </c>
      <c r="BO86" s="363">
        <f t="shared" si="76"/>
        <v>5</v>
      </c>
      <c r="BP86" s="363">
        <f t="shared" si="68"/>
        <v>4</v>
      </c>
      <c r="BQ86" s="363">
        <f t="shared" si="68"/>
        <v>0</v>
      </c>
      <c r="BR86" s="363">
        <f t="shared" si="68"/>
        <v>0</v>
      </c>
      <c r="BS86" s="363">
        <f t="shared" si="68"/>
        <v>0</v>
      </c>
      <c r="BT86" s="363">
        <f t="shared" si="68"/>
        <v>0</v>
      </c>
      <c r="BU86" s="363">
        <f t="shared" si="68"/>
        <v>0</v>
      </c>
      <c r="BV86" s="363">
        <f t="shared" si="68"/>
        <v>0</v>
      </c>
      <c r="BW86" s="363">
        <f t="shared" si="68"/>
        <v>0</v>
      </c>
      <c r="BX86" s="363">
        <f t="shared" si="68"/>
        <v>1</v>
      </c>
      <c r="BY86" s="363">
        <f t="shared" si="68"/>
        <v>0</v>
      </c>
      <c r="BZ86" s="363">
        <f t="shared" si="68"/>
        <v>0</v>
      </c>
      <c r="CA86" s="363">
        <f t="shared" si="68"/>
        <v>0</v>
      </c>
      <c r="CB86" s="363">
        <f t="shared" si="68"/>
        <v>0</v>
      </c>
      <c r="CC86" s="363">
        <f t="shared" si="68"/>
        <v>1</v>
      </c>
      <c r="CD86" s="363">
        <f t="shared" si="68"/>
        <v>0</v>
      </c>
      <c r="CE86" s="363">
        <f t="shared" si="68"/>
        <v>1</v>
      </c>
      <c r="CF86" s="363">
        <f t="shared" si="68"/>
        <v>2</v>
      </c>
      <c r="CG86" s="363">
        <f t="shared" si="68"/>
        <v>0</v>
      </c>
      <c r="CH86" s="64">
        <f t="shared" si="69"/>
        <v>0</v>
      </c>
      <c r="CI86" s="65">
        <f t="shared" si="70"/>
        <v>0.2</v>
      </c>
      <c r="CJ86" s="65">
        <f t="shared" si="71"/>
        <v>0</v>
      </c>
      <c r="CK86" s="66">
        <f t="shared" si="77"/>
        <v>0.2</v>
      </c>
      <c r="CL86" s="76">
        <f t="shared" si="72"/>
        <v>-0.10888888888888903</v>
      </c>
      <c r="CM86" s="76">
        <f t="shared" si="73"/>
        <v>-0.49000000000000066</v>
      </c>
      <c r="CN86" s="77">
        <f t="shared" si="74"/>
        <v>-3.5999999999999976E-2</v>
      </c>
      <c r="CO86" s="78" t="s">
        <v>10</v>
      </c>
    </row>
    <row r="87" spans="21:93" x14ac:dyDescent="0.3">
      <c r="AR87" s="154"/>
      <c r="AS87" s="154"/>
      <c r="AT87" s="154"/>
      <c r="AW87" s="154"/>
      <c r="AX87" s="154"/>
      <c r="AY87" s="154"/>
      <c r="AZ87" s="154"/>
      <c r="BE87" s="154"/>
      <c r="BF87" s="154"/>
      <c r="BK87" s="154">
        <v>6</v>
      </c>
      <c r="BL87" s="60">
        <v>24</v>
      </c>
      <c r="BM87" s="78" t="s">
        <v>37</v>
      </c>
      <c r="BN87" s="363">
        <f t="shared" si="75"/>
        <v>7</v>
      </c>
      <c r="BO87" s="363">
        <f t="shared" si="76"/>
        <v>13</v>
      </c>
      <c r="BP87" s="363">
        <f t="shared" si="68"/>
        <v>7</v>
      </c>
      <c r="BQ87" s="363">
        <f t="shared" si="68"/>
        <v>1</v>
      </c>
      <c r="BR87" s="363">
        <f t="shared" si="68"/>
        <v>1</v>
      </c>
      <c r="BS87" s="363">
        <f t="shared" si="68"/>
        <v>0</v>
      </c>
      <c r="BT87" s="363">
        <f t="shared" si="68"/>
        <v>0</v>
      </c>
      <c r="BU87" s="363">
        <f t="shared" si="68"/>
        <v>0</v>
      </c>
      <c r="BV87" s="363">
        <f t="shared" si="68"/>
        <v>1</v>
      </c>
      <c r="BW87" s="363">
        <f t="shared" si="68"/>
        <v>1</v>
      </c>
      <c r="BX87" s="363">
        <f t="shared" si="68"/>
        <v>0</v>
      </c>
      <c r="BY87" s="363">
        <f t="shared" si="68"/>
        <v>0</v>
      </c>
      <c r="BZ87" s="363">
        <f t="shared" si="68"/>
        <v>1</v>
      </c>
      <c r="CA87" s="363">
        <f t="shared" si="68"/>
        <v>0</v>
      </c>
      <c r="CB87" s="363">
        <f t="shared" si="68"/>
        <v>0</v>
      </c>
      <c r="CC87" s="363">
        <f t="shared" si="68"/>
        <v>4</v>
      </c>
      <c r="CD87" s="363">
        <f t="shared" si="68"/>
        <v>2</v>
      </c>
      <c r="CE87" s="363">
        <f t="shared" si="68"/>
        <v>6</v>
      </c>
      <c r="CF87" s="363">
        <f t="shared" si="68"/>
        <v>3</v>
      </c>
      <c r="CG87" s="363">
        <f t="shared" si="68"/>
        <v>0</v>
      </c>
      <c r="CH87" s="64">
        <f t="shared" si="69"/>
        <v>0.14285714285714285</v>
      </c>
      <c r="CI87" s="65">
        <f t="shared" si="70"/>
        <v>0.53846153846153844</v>
      </c>
      <c r="CJ87" s="65">
        <f t="shared" si="71"/>
        <v>0.14285714285714285</v>
      </c>
      <c r="CK87" s="66">
        <f t="shared" si="77"/>
        <v>0.68131868131868134</v>
      </c>
      <c r="CL87" s="76">
        <f t="shared" si="72"/>
        <v>1.5958888888888865</v>
      </c>
      <c r="CM87" s="76">
        <f t="shared" si="73"/>
        <v>3.1917777777777729</v>
      </c>
      <c r="CN87" s="77">
        <f t="shared" si="74"/>
        <v>1.6560000000000001</v>
      </c>
      <c r="CO87" s="78" t="s">
        <v>37</v>
      </c>
    </row>
    <row r="88" spans="21:93" x14ac:dyDescent="0.3">
      <c r="AR88" s="154"/>
      <c r="AS88" s="154"/>
      <c r="AT88" s="154"/>
      <c r="AU88" s="154"/>
      <c r="AW88" s="154"/>
      <c r="AX88" s="154"/>
      <c r="AY88" s="154"/>
      <c r="AZ88" s="154"/>
      <c r="BE88" s="154"/>
      <c r="BF88" s="154"/>
      <c r="BK88" s="154">
        <v>7</v>
      </c>
      <c r="BL88" s="5">
        <v>22</v>
      </c>
      <c r="BM88" s="9" t="s">
        <v>39</v>
      </c>
      <c r="BN88" s="18">
        <f t="shared" si="75"/>
        <v>67</v>
      </c>
      <c r="BO88" s="18">
        <f t="shared" si="76"/>
        <v>192</v>
      </c>
      <c r="BP88" s="18">
        <f t="shared" si="68"/>
        <v>157</v>
      </c>
      <c r="BQ88" s="18">
        <f t="shared" si="68"/>
        <v>56</v>
      </c>
      <c r="BR88" s="18">
        <f t="shared" si="68"/>
        <v>41</v>
      </c>
      <c r="BS88" s="18">
        <f t="shared" si="68"/>
        <v>12</v>
      </c>
      <c r="BT88" s="18">
        <f t="shared" si="68"/>
        <v>3</v>
      </c>
      <c r="BU88" s="18">
        <f t="shared" si="68"/>
        <v>0</v>
      </c>
      <c r="BV88" s="18">
        <f t="shared" si="68"/>
        <v>74</v>
      </c>
      <c r="BW88" s="18">
        <f t="shared" si="68"/>
        <v>66</v>
      </c>
      <c r="BX88" s="18">
        <f t="shared" si="68"/>
        <v>53</v>
      </c>
      <c r="BY88" s="18">
        <f t="shared" si="68"/>
        <v>28</v>
      </c>
      <c r="BZ88" s="18">
        <f t="shared" si="68"/>
        <v>0</v>
      </c>
      <c r="CA88" s="18">
        <f t="shared" si="68"/>
        <v>0</v>
      </c>
      <c r="CB88" s="18">
        <f t="shared" si="68"/>
        <v>1</v>
      </c>
      <c r="CC88" s="18">
        <f t="shared" si="68"/>
        <v>34</v>
      </c>
      <c r="CD88" s="18">
        <f t="shared" si="68"/>
        <v>0</v>
      </c>
      <c r="CE88" s="18">
        <f t="shared" si="68"/>
        <v>34</v>
      </c>
      <c r="CF88" s="18">
        <f t="shared" si="68"/>
        <v>26</v>
      </c>
      <c r="CG88" s="18">
        <f t="shared" si="68"/>
        <v>3</v>
      </c>
      <c r="CH88" s="19">
        <f t="shared" si="69"/>
        <v>0.35668789808917195</v>
      </c>
      <c r="CI88" s="20">
        <f t="shared" si="70"/>
        <v>0.46875</v>
      </c>
      <c r="CJ88" s="20">
        <f t="shared" si="71"/>
        <v>0.4713375796178344</v>
      </c>
      <c r="CK88" s="21">
        <f t="shared" si="77"/>
        <v>0.9400875796178344</v>
      </c>
      <c r="CL88" s="49">
        <f t="shared" si="72"/>
        <v>39.529524193548326</v>
      </c>
      <c r="CM88" s="49">
        <f t="shared" si="73"/>
        <v>3.2789467072989398</v>
      </c>
      <c r="CN88" s="56">
        <f t="shared" si="74"/>
        <v>38.821999999999996</v>
      </c>
      <c r="CO88" s="9" t="s">
        <v>39</v>
      </c>
    </row>
    <row r="89" spans="21:93" x14ac:dyDescent="0.3">
      <c r="AR89" s="154"/>
      <c r="AS89" s="154"/>
      <c r="AT89" s="154"/>
      <c r="AU89" s="154"/>
      <c r="AW89" s="154"/>
      <c r="AX89" s="154"/>
      <c r="AY89" s="154"/>
      <c r="AZ89" s="154"/>
      <c r="BA89" s="154"/>
      <c r="BB89" s="154"/>
      <c r="BE89" s="154"/>
      <c r="BF89" s="154"/>
      <c r="BK89" s="154">
        <v>8</v>
      </c>
      <c r="BL89" s="5">
        <v>8</v>
      </c>
      <c r="BM89" s="9" t="s">
        <v>41</v>
      </c>
      <c r="BN89" s="18">
        <f t="shared" si="75"/>
        <v>72</v>
      </c>
      <c r="BO89" s="18">
        <f t="shared" si="76"/>
        <v>204</v>
      </c>
      <c r="BP89" s="18">
        <f t="shared" si="68"/>
        <v>167</v>
      </c>
      <c r="BQ89" s="18">
        <f t="shared" si="68"/>
        <v>69</v>
      </c>
      <c r="BR89" s="18">
        <f t="shared" si="68"/>
        <v>54</v>
      </c>
      <c r="BS89" s="18">
        <f t="shared" si="68"/>
        <v>12</v>
      </c>
      <c r="BT89" s="18">
        <f t="shared" si="68"/>
        <v>2</v>
      </c>
      <c r="BU89" s="18">
        <f t="shared" si="68"/>
        <v>1</v>
      </c>
      <c r="BV89" s="18">
        <f t="shared" si="68"/>
        <v>88</v>
      </c>
      <c r="BW89" s="18">
        <f t="shared" si="68"/>
        <v>53</v>
      </c>
      <c r="BX89" s="18">
        <f t="shared" si="68"/>
        <v>85</v>
      </c>
      <c r="BY89" s="18">
        <f t="shared" si="68"/>
        <v>52</v>
      </c>
      <c r="BZ89" s="18">
        <f t="shared" si="68"/>
        <v>1</v>
      </c>
      <c r="CA89" s="18">
        <f t="shared" si="68"/>
        <v>0</v>
      </c>
      <c r="CB89" s="18">
        <f t="shared" si="68"/>
        <v>4</v>
      </c>
      <c r="CC89" s="18">
        <f t="shared" si="68"/>
        <v>31</v>
      </c>
      <c r="CD89" s="18">
        <f t="shared" si="68"/>
        <v>3</v>
      </c>
      <c r="CE89" s="18">
        <f t="shared" si="68"/>
        <v>34</v>
      </c>
      <c r="CF89" s="18">
        <f t="shared" si="68"/>
        <v>44</v>
      </c>
      <c r="CG89" s="18">
        <f t="shared" si="68"/>
        <v>1</v>
      </c>
      <c r="CH89" s="19">
        <f t="shared" si="69"/>
        <v>0.41317365269461076</v>
      </c>
      <c r="CI89" s="20">
        <f t="shared" si="70"/>
        <v>0.5024390243902439</v>
      </c>
      <c r="CJ89" s="20">
        <f t="shared" si="71"/>
        <v>0.52694610778443118</v>
      </c>
      <c r="CK89" s="21">
        <f t="shared" si="77"/>
        <v>1.0293851321746752</v>
      </c>
      <c r="CL89" s="49">
        <f t="shared" si="72"/>
        <v>55.871322673226672</v>
      </c>
      <c r="CM89" s="49">
        <f t="shared" si="73"/>
        <v>4.1557182153639678</v>
      </c>
      <c r="CN89" s="56">
        <f t="shared" si="74"/>
        <v>51.698</v>
      </c>
      <c r="CO89" s="9" t="s">
        <v>1</v>
      </c>
    </row>
    <row r="90" spans="21:93" x14ac:dyDescent="0.3">
      <c r="AR90" s="154"/>
      <c r="AS90" s="154"/>
      <c r="AT90" s="154"/>
      <c r="AU90" s="154"/>
      <c r="AW90" s="154"/>
      <c r="AX90" s="154"/>
      <c r="AY90" s="154"/>
      <c r="AZ90" s="154"/>
      <c r="BA90" s="154"/>
      <c r="BB90" s="154"/>
      <c r="BC90" s="154"/>
      <c r="BD90" s="154"/>
      <c r="BE90" s="154"/>
      <c r="BF90" s="154"/>
      <c r="BK90" s="154">
        <v>9</v>
      </c>
      <c r="BL90" s="5">
        <v>13</v>
      </c>
      <c r="BM90" s="9" t="s">
        <v>43</v>
      </c>
      <c r="BN90" s="18">
        <f t="shared" si="75"/>
        <v>70</v>
      </c>
      <c r="BO90" s="18">
        <f t="shared" si="76"/>
        <v>227</v>
      </c>
      <c r="BP90" s="18">
        <f t="shared" si="68"/>
        <v>188</v>
      </c>
      <c r="BQ90" s="18">
        <f t="shared" si="68"/>
        <v>86</v>
      </c>
      <c r="BR90" s="18">
        <f t="shared" si="68"/>
        <v>76</v>
      </c>
      <c r="BS90" s="18">
        <f t="shared" si="68"/>
        <v>10</v>
      </c>
      <c r="BT90" s="18">
        <f t="shared" si="68"/>
        <v>0</v>
      </c>
      <c r="BU90" s="18">
        <f t="shared" si="68"/>
        <v>0</v>
      </c>
      <c r="BV90" s="18">
        <f t="shared" si="68"/>
        <v>96</v>
      </c>
      <c r="BW90" s="18">
        <f t="shared" si="68"/>
        <v>50</v>
      </c>
      <c r="BX90" s="18">
        <f t="shared" si="68"/>
        <v>93</v>
      </c>
      <c r="BY90" s="18">
        <f t="shared" si="68"/>
        <v>72</v>
      </c>
      <c r="BZ90" s="18">
        <f t="shared" si="68"/>
        <v>2</v>
      </c>
      <c r="CA90" s="18">
        <f t="shared" si="68"/>
        <v>0</v>
      </c>
      <c r="CB90" s="18">
        <f t="shared" si="68"/>
        <v>1</v>
      </c>
      <c r="CC90" s="18">
        <f t="shared" si="68"/>
        <v>37</v>
      </c>
      <c r="CD90" s="18">
        <f t="shared" si="68"/>
        <v>1</v>
      </c>
      <c r="CE90" s="18">
        <f t="shared" si="68"/>
        <v>38</v>
      </c>
      <c r="CF90" s="18">
        <f t="shared" si="68"/>
        <v>19</v>
      </c>
      <c r="CG90" s="18">
        <f t="shared" si="68"/>
        <v>1</v>
      </c>
      <c r="CH90" s="19">
        <f t="shared" si="69"/>
        <v>0.45744680851063829</v>
      </c>
      <c r="CI90" s="20">
        <f t="shared" si="70"/>
        <v>0.54625550660792954</v>
      </c>
      <c r="CJ90" s="20">
        <f t="shared" si="71"/>
        <v>0.51063829787234039</v>
      </c>
      <c r="CK90" s="21">
        <f t="shared" si="77"/>
        <v>1.05689380448027</v>
      </c>
      <c r="CL90" s="49">
        <f t="shared" si="72"/>
        <v>67.950150997151013</v>
      </c>
      <c r="CM90" s="49">
        <f t="shared" si="73"/>
        <v>4.3996500645637351</v>
      </c>
      <c r="CN90" s="56">
        <f t="shared" si="74"/>
        <v>61.107999999999997</v>
      </c>
      <c r="CO90" s="9" t="s">
        <v>43</v>
      </c>
    </row>
    <row r="91" spans="21:93" x14ac:dyDescent="0.3">
      <c r="AX91" s="154"/>
      <c r="AY91" s="154"/>
      <c r="AZ91" s="154"/>
      <c r="BA91" s="154"/>
      <c r="BB91" s="154"/>
      <c r="BC91" s="154"/>
      <c r="BD91" s="154"/>
      <c r="BE91" s="154"/>
      <c r="BF91" s="154"/>
      <c r="BK91" s="154">
        <v>10</v>
      </c>
      <c r="BL91" s="5">
        <v>0</v>
      </c>
      <c r="BM91" s="9" t="s">
        <v>297</v>
      </c>
      <c r="BN91" s="18">
        <f t="shared" si="75"/>
        <v>28</v>
      </c>
      <c r="BO91" s="18">
        <f t="shared" si="76"/>
        <v>84</v>
      </c>
      <c r="BP91" s="18">
        <f t="shared" si="68"/>
        <v>70</v>
      </c>
      <c r="BQ91" s="18">
        <f t="shared" si="68"/>
        <v>31</v>
      </c>
      <c r="BR91" s="18">
        <f t="shared" si="68"/>
        <v>24</v>
      </c>
      <c r="BS91" s="18">
        <f t="shared" si="68"/>
        <v>6</v>
      </c>
      <c r="BT91" s="18">
        <f t="shared" si="68"/>
        <v>1</v>
      </c>
      <c r="BU91" s="18">
        <f t="shared" si="68"/>
        <v>0</v>
      </c>
      <c r="BV91" s="18">
        <f t="shared" si="68"/>
        <v>39</v>
      </c>
      <c r="BW91" s="18">
        <f t="shared" si="68"/>
        <v>27</v>
      </c>
      <c r="BX91" s="18">
        <f t="shared" si="68"/>
        <v>26</v>
      </c>
      <c r="BY91" s="18">
        <f t="shared" si="68"/>
        <v>15</v>
      </c>
      <c r="BZ91" s="18">
        <f t="shared" si="68"/>
        <v>0</v>
      </c>
      <c r="CA91" s="18">
        <f t="shared" si="68"/>
        <v>0</v>
      </c>
      <c r="CB91" s="18">
        <f t="shared" si="68"/>
        <v>0</v>
      </c>
      <c r="CC91" s="18">
        <f t="shared" si="68"/>
        <v>15</v>
      </c>
      <c r="CD91" s="18">
        <f t="shared" si="68"/>
        <v>0</v>
      </c>
      <c r="CE91" s="18">
        <f t="shared" si="68"/>
        <v>15</v>
      </c>
      <c r="CF91" s="18">
        <f t="shared" si="68"/>
        <v>10</v>
      </c>
      <c r="CG91" s="18">
        <f t="shared" si="68"/>
        <v>2</v>
      </c>
      <c r="CH91" s="19">
        <f t="shared" si="69"/>
        <v>0.44285714285714284</v>
      </c>
      <c r="CI91" s="20">
        <f t="shared" si="70"/>
        <v>0.54117647058823526</v>
      </c>
      <c r="CJ91" s="20">
        <f t="shared" si="71"/>
        <v>0.55714285714285716</v>
      </c>
      <c r="CK91" s="21">
        <f t="shared" si="77"/>
        <v>1.0983193277310925</v>
      </c>
      <c r="CL91" s="49">
        <f t="shared" si="72"/>
        <v>21.595402298850559</v>
      </c>
      <c r="CM91" s="49">
        <f t="shared" si="73"/>
        <v>3.7739537997991266</v>
      </c>
      <c r="CN91" s="56">
        <f t="shared" si="74"/>
        <v>20.830000000000002</v>
      </c>
      <c r="CO91" s="9" t="s">
        <v>297</v>
      </c>
    </row>
    <row r="92" spans="21:93" x14ac:dyDescent="0.3">
      <c r="BK92" s="154">
        <v>11</v>
      </c>
      <c r="BL92" s="61">
        <v>99</v>
      </c>
      <c r="BM92" s="75" t="s">
        <v>45</v>
      </c>
      <c r="BN92" s="18">
        <f t="shared" si="75"/>
        <v>26</v>
      </c>
      <c r="BO92" s="18">
        <f t="shared" si="76"/>
        <v>76</v>
      </c>
      <c r="BP92" s="18">
        <f t="shared" si="68"/>
        <v>52</v>
      </c>
      <c r="BQ92" s="18">
        <f t="shared" si="68"/>
        <v>16</v>
      </c>
      <c r="BR92" s="18">
        <f t="shared" si="68"/>
        <v>13</v>
      </c>
      <c r="BS92" s="18">
        <f t="shared" si="68"/>
        <v>3</v>
      </c>
      <c r="BT92" s="18">
        <f t="shared" si="68"/>
        <v>0</v>
      </c>
      <c r="BU92" s="18">
        <f t="shared" si="68"/>
        <v>0</v>
      </c>
      <c r="BV92" s="18">
        <f t="shared" si="68"/>
        <v>19</v>
      </c>
      <c r="BW92" s="18">
        <f t="shared" si="68"/>
        <v>21</v>
      </c>
      <c r="BX92" s="18">
        <f t="shared" si="68"/>
        <v>17</v>
      </c>
      <c r="BY92" s="18">
        <f t="shared" si="68"/>
        <v>5</v>
      </c>
      <c r="BZ92" s="18">
        <f t="shared" si="68"/>
        <v>0</v>
      </c>
      <c r="CA92" s="18">
        <f t="shared" si="68"/>
        <v>0</v>
      </c>
      <c r="CB92" s="18">
        <f t="shared" si="68"/>
        <v>4</v>
      </c>
      <c r="CC92" s="18">
        <f t="shared" si="68"/>
        <v>17</v>
      </c>
      <c r="CD92" s="18">
        <f t="shared" si="68"/>
        <v>3</v>
      </c>
      <c r="CE92" s="18">
        <f t="shared" si="68"/>
        <v>20</v>
      </c>
      <c r="CF92" s="18">
        <f t="shared" si="68"/>
        <v>17</v>
      </c>
      <c r="CG92" s="18">
        <f t="shared" si="68"/>
        <v>0</v>
      </c>
      <c r="CH92" s="151">
        <f t="shared" si="69"/>
        <v>0.30769230769230771</v>
      </c>
      <c r="CI92" s="150">
        <f t="shared" si="70"/>
        <v>0.47368421052631576</v>
      </c>
      <c r="CJ92" s="150">
        <f t="shared" si="71"/>
        <v>0.36538461538461536</v>
      </c>
      <c r="CK92" s="149">
        <f t="shared" si="77"/>
        <v>0.83906882591093113</v>
      </c>
      <c r="CL92" s="126">
        <f t="shared" si="72"/>
        <v>13.598157303370783</v>
      </c>
      <c r="CM92" s="126">
        <f t="shared" si="73"/>
        <v>3.3995393258426958</v>
      </c>
      <c r="CN92" s="127">
        <f t="shared" si="74"/>
        <v>14.463999999999999</v>
      </c>
      <c r="CO92" s="75" t="s">
        <v>45</v>
      </c>
    </row>
    <row r="93" spans="21:93" x14ac:dyDescent="0.3">
      <c r="BK93" s="154">
        <v>12</v>
      </c>
      <c r="BL93" s="5">
        <v>37</v>
      </c>
      <c r="BM93" s="9" t="s">
        <v>0</v>
      </c>
      <c r="BN93" s="18">
        <f t="shared" si="75"/>
        <v>57</v>
      </c>
      <c r="BO93" s="18">
        <f t="shared" si="76"/>
        <v>182</v>
      </c>
      <c r="BP93" s="18">
        <f t="shared" si="68"/>
        <v>127</v>
      </c>
      <c r="BQ93" s="18">
        <f t="shared" si="68"/>
        <v>73</v>
      </c>
      <c r="BR93" s="18">
        <f t="shared" si="68"/>
        <v>49</v>
      </c>
      <c r="BS93" s="18">
        <f t="shared" si="68"/>
        <v>20</v>
      </c>
      <c r="BT93" s="18">
        <f t="shared" si="68"/>
        <v>4</v>
      </c>
      <c r="BU93" s="18">
        <f t="shared" si="68"/>
        <v>0</v>
      </c>
      <c r="BV93" s="18">
        <f t="shared" si="68"/>
        <v>101</v>
      </c>
      <c r="BW93" s="18">
        <f t="shared" si="68"/>
        <v>61</v>
      </c>
      <c r="BX93" s="18">
        <f t="shared" si="68"/>
        <v>89</v>
      </c>
      <c r="BY93" s="18">
        <f t="shared" si="68"/>
        <v>45</v>
      </c>
      <c r="BZ93" s="18">
        <f t="shared" si="68"/>
        <v>0</v>
      </c>
      <c r="CA93" s="18">
        <f t="shared" si="68"/>
        <v>0</v>
      </c>
      <c r="CB93" s="18">
        <f t="shared" si="68"/>
        <v>3</v>
      </c>
      <c r="CC93" s="18">
        <f t="shared" si="68"/>
        <v>42</v>
      </c>
      <c r="CD93" s="18">
        <f t="shared" si="68"/>
        <v>7</v>
      </c>
      <c r="CE93" s="18">
        <f t="shared" si="68"/>
        <v>49</v>
      </c>
      <c r="CF93" s="18">
        <f t="shared" si="68"/>
        <v>6</v>
      </c>
      <c r="CG93" s="18">
        <f t="shared" si="68"/>
        <v>0</v>
      </c>
      <c r="CH93" s="19">
        <f t="shared" si="69"/>
        <v>0.57480314960629919</v>
      </c>
      <c r="CI93" s="20">
        <f t="shared" si="70"/>
        <v>0.68156424581005581</v>
      </c>
      <c r="CJ93" s="20">
        <f t="shared" si="71"/>
        <v>0.79527559055118113</v>
      </c>
      <c r="CK93" s="21">
        <f t="shared" si="77"/>
        <v>1.4768398363612369</v>
      </c>
      <c r="CL93" s="49">
        <f t="shared" si="72"/>
        <v>70.55492063492062</v>
      </c>
      <c r="CM93" s="49">
        <f t="shared" si="73"/>
        <v>6.256101337086557</v>
      </c>
      <c r="CN93" s="56">
        <f t="shared" si="74"/>
        <v>64.021999999999991</v>
      </c>
      <c r="CO93" s="9" t="s">
        <v>0</v>
      </c>
    </row>
    <row r="94" spans="21:93" x14ac:dyDescent="0.3">
      <c r="BK94" s="154">
        <v>13</v>
      </c>
      <c r="BL94" s="189">
        <v>4</v>
      </c>
      <c r="BM94" s="190" t="s">
        <v>47</v>
      </c>
      <c r="BN94" s="245">
        <f t="shared" si="75"/>
        <v>1</v>
      </c>
      <c r="BO94" s="245">
        <f t="shared" si="76"/>
        <v>2</v>
      </c>
      <c r="BP94" s="245">
        <f t="shared" si="68"/>
        <v>1</v>
      </c>
      <c r="BQ94" s="245">
        <f t="shared" si="68"/>
        <v>1</v>
      </c>
      <c r="BR94" s="245">
        <f t="shared" si="68"/>
        <v>0</v>
      </c>
      <c r="BS94" s="245">
        <f t="shared" si="68"/>
        <v>1</v>
      </c>
      <c r="BT94" s="245">
        <f t="shared" si="68"/>
        <v>0</v>
      </c>
      <c r="BU94" s="245">
        <f t="shared" si="68"/>
        <v>0</v>
      </c>
      <c r="BV94" s="245">
        <f t="shared" si="68"/>
        <v>2</v>
      </c>
      <c r="BW94" s="245">
        <f t="shared" si="68"/>
        <v>1</v>
      </c>
      <c r="BX94" s="245">
        <f t="shared" si="68"/>
        <v>0</v>
      </c>
      <c r="BY94" s="245">
        <f t="shared" si="68"/>
        <v>0</v>
      </c>
      <c r="BZ94" s="245">
        <f t="shared" si="68"/>
        <v>0</v>
      </c>
      <c r="CA94" s="245">
        <f t="shared" si="68"/>
        <v>0</v>
      </c>
      <c r="CB94" s="245">
        <f t="shared" si="68"/>
        <v>0</v>
      </c>
      <c r="CC94" s="245">
        <f t="shared" si="68"/>
        <v>1</v>
      </c>
      <c r="CD94" s="245">
        <f t="shared" si="68"/>
        <v>0</v>
      </c>
      <c r="CE94" s="245">
        <f t="shared" si="68"/>
        <v>1</v>
      </c>
      <c r="CF94" s="245">
        <f t="shared" si="68"/>
        <v>0</v>
      </c>
      <c r="CG94" s="245">
        <f t="shared" si="68"/>
        <v>0</v>
      </c>
      <c r="CH94" s="191">
        <f t="shared" si="69"/>
        <v>1</v>
      </c>
      <c r="CI94" s="192">
        <f t="shared" si="70"/>
        <v>1</v>
      </c>
      <c r="CJ94" s="192">
        <f t="shared" si="71"/>
        <v>2</v>
      </c>
      <c r="CK94" s="193">
        <f t="shared" si="77"/>
        <v>3</v>
      </c>
      <c r="CL94" s="194">
        <f t="shared" si="72"/>
        <v>1.1367407407407399</v>
      </c>
      <c r="CM94" s="194">
        <f t="shared" si="73"/>
        <v>10.230666666666659</v>
      </c>
      <c r="CN94" s="195">
        <f t="shared" si="74"/>
        <v>1.06</v>
      </c>
      <c r="CO94" s="190" t="s">
        <v>47</v>
      </c>
    </row>
    <row r="95" spans="21:93" x14ac:dyDescent="0.3">
      <c r="BK95" s="154">
        <v>14</v>
      </c>
      <c r="BL95" s="5">
        <v>35</v>
      </c>
      <c r="BM95" s="9" t="s">
        <v>49</v>
      </c>
      <c r="BN95" s="18">
        <f t="shared" si="75"/>
        <v>34</v>
      </c>
      <c r="BO95" s="18">
        <f t="shared" si="76"/>
        <v>92</v>
      </c>
      <c r="BP95" s="18">
        <f t="shared" si="68"/>
        <v>85</v>
      </c>
      <c r="BQ95" s="18">
        <f t="shared" si="68"/>
        <v>32</v>
      </c>
      <c r="BR95" s="18">
        <f t="shared" si="68"/>
        <v>26</v>
      </c>
      <c r="BS95" s="18">
        <f t="shared" ref="BS95:BS115" si="78">I16+AJ16+BM16+CP16+DS16</f>
        <v>4</v>
      </c>
      <c r="BT95" s="18">
        <f t="shared" ref="BT95:BT115" si="79">J16+AK16+BN16+CQ16+DT16</f>
        <v>2</v>
      </c>
      <c r="BU95" s="18">
        <f t="shared" ref="BU95:BU115" si="80">K16+AL16+BO16+CR16+DU16</f>
        <v>0</v>
      </c>
      <c r="BV95" s="18">
        <f t="shared" ref="BV95:BV115" si="81">L16+AM16+BP16+CS16+DV16</f>
        <v>40</v>
      </c>
      <c r="BW95" s="18">
        <f t="shared" ref="BW95:BW115" si="82">M16+AN16+BQ16+CT16+DW16</f>
        <v>25</v>
      </c>
      <c r="BX95" s="18">
        <f t="shared" ref="BX95:BX115" si="83">N16+AO16+BR16+CU16+DX16</f>
        <v>25</v>
      </c>
      <c r="BY95" s="18">
        <f t="shared" ref="BY95:BY115" si="84">O16+AP16+BS16+CV16+DY16</f>
        <v>16</v>
      </c>
      <c r="BZ95" s="18">
        <f t="shared" ref="BZ95:BZ115" si="85">P16+AQ16+BT16+CW16+DZ16</f>
        <v>0</v>
      </c>
      <c r="CA95" s="18">
        <f t="shared" ref="CA95:CA115" si="86">Q16+AR16+BU16+CX16+EA16</f>
        <v>0</v>
      </c>
      <c r="CB95" s="18">
        <f t="shared" ref="CB95:CB115" si="87">R16+AS16+BV16+CY16+EB16</f>
        <v>0</v>
      </c>
      <c r="CC95" s="18">
        <f t="shared" ref="CC95:CC115" si="88">S16+AT16+BW16+CZ16+EC16</f>
        <v>3</v>
      </c>
      <c r="CD95" s="18">
        <f t="shared" ref="CD95:CD115" si="89">T16+AU16+BX16+DA16+ED16</f>
        <v>4</v>
      </c>
      <c r="CE95" s="18">
        <f t="shared" ref="CE95:CE115" si="90">U16+AV16+BY16+DB16+EE16</f>
        <v>7</v>
      </c>
      <c r="CF95" s="18">
        <f t="shared" ref="CF95:CF115" si="91">V16+AW16+BZ16+DC16+EF16</f>
        <v>28</v>
      </c>
      <c r="CG95" s="18">
        <f t="shared" ref="CG95:CG115" si="92">W16+AX16+CA16+DD16+EG16</f>
        <v>1</v>
      </c>
      <c r="CH95" s="19">
        <f t="shared" si="69"/>
        <v>0.37647058823529411</v>
      </c>
      <c r="CI95" s="20">
        <f t="shared" si="70"/>
        <v>0.42391304347826086</v>
      </c>
      <c r="CJ95" s="20">
        <f t="shared" si="71"/>
        <v>0.47058823529411764</v>
      </c>
      <c r="CK95" s="21">
        <f t="shared" si="77"/>
        <v>0.89450127877237851</v>
      </c>
      <c r="CL95" s="49">
        <f t="shared" si="72"/>
        <v>18.638925925925932</v>
      </c>
      <c r="CM95" s="49">
        <f t="shared" si="73"/>
        <v>2.8432259887005662</v>
      </c>
      <c r="CN95" s="56">
        <f t="shared" si="74"/>
        <v>17.855999999999998</v>
      </c>
      <c r="CO95" s="9" t="s">
        <v>49</v>
      </c>
    </row>
    <row r="96" spans="21:93" x14ac:dyDescent="0.3">
      <c r="BK96" s="154">
        <v>15</v>
      </c>
      <c r="BL96" s="5">
        <v>64</v>
      </c>
      <c r="BM96" s="9" t="s">
        <v>3</v>
      </c>
      <c r="BN96" s="18">
        <f t="shared" si="75"/>
        <v>48</v>
      </c>
      <c r="BO96" s="18">
        <f t="shared" si="76"/>
        <v>131</v>
      </c>
      <c r="BP96" s="18">
        <f t="shared" ref="BP96:BP115" si="93">F17+AG17+BJ17+CM17+DP17</f>
        <v>117</v>
      </c>
      <c r="BQ96" s="18">
        <f t="shared" ref="BQ96:BQ115" si="94">G17+AH17+BK17+CN17+DQ17</f>
        <v>48</v>
      </c>
      <c r="BR96" s="18">
        <f t="shared" ref="BR96:BR115" si="95">H17+AI17+BL17+CO17+DR17</f>
        <v>47</v>
      </c>
      <c r="BS96" s="18">
        <f t="shared" si="78"/>
        <v>1</v>
      </c>
      <c r="BT96" s="18">
        <f t="shared" si="79"/>
        <v>0</v>
      </c>
      <c r="BU96" s="18">
        <f t="shared" si="80"/>
        <v>0</v>
      </c>
      <c r="BV96" s="18">
        <f t="shared" si="81"/>
        <v>49</v>
      </c>
      <c r="BW96" s="18">
        <f t="shared" si="82"/>
        <v>25</v>
      </c>
      <c r="BX96" s="18">
        <f t="shared" si="83"/>
        <v>41</v>
      </c>
      <c r="BY96" s="18">
        <f t="shared" si="84"/>
        <v>48</v>
      </c>
      <c r="BZ96" s="18">
        <f t="shared" si="85"/>
        <v>0</v>
      </c>
      <c r="CA96" s="18">
        <f t="shared" si="86"/>
        <v>0</v>
      </c>
      <c r="CB96" s="18">
        <f t="shared" si="87"/>
        <v>0</v>
      </c>
      <c r="CC96" s="18">
        <f t="shared" si="88"/>
        <v>11</v>
      </c>
      <c r="CD96" s="18">
        <f t="shared" si="89"/>
        <v>3</v>
      </c>
      <c r="CE96" s="18">
        <f t="shared" si="90"/>
        <v>14</v>
      </c>
      <c r="CF96" s="18">
        <f t="shared" si="91"/>
        <v>18</v>
      </c>
      <c r="CG96" s="18">
        <f t="shared" si="92"/>
        <v>1</v>
      </c>
      <c r="CH96" s="19">
        <f t="shared" si="69"/>
        <v>0.41025641025641024</v>
      </c>
      <c r="CI96" s="20">
        <f t="shared" si="70"/>
        <v>0.47328244274809161</v>
      </c>
      <c r="CJ96" s="20">
        <f t="shared" si="71"/>
        <v>0.41880341880341881</v>
      </c>
      <c r="CK96" s="21">
        <f t="shared" si="77"/>
        <v>0.89208586155151037</v>
      </c>
      <c r="CL96" s="49">
        <f t="shared" si="72"/>
        <v>35.625285353535332</v>
      </c>
      <c r="CM96" s="49">
        <f t="shared" si="73"/>
        <v>3.86298274917853</v>
      </c>
      <c r="CN96" s="56">
        <f t="shared" si="74"/>
        <v>30.896000000000001</v>
      </c>
      <c r="CO96" s="9" t="s">
        <v>3</v>
      </c>
    </row>
    <row r="97" spans="63:93" x14ac:dyDescent="0.3">
      <c r="BK97" s="154">
        <v>16</v>
      </c>
      <c r="BL97" s="5">
        <v>5</v>
      </c>
      <c r="BM97" s="9" t="s">
        <v>53</v>
      </c>
      <c r="BN97" s="18">
        <f t="shared" si="75"/>
        <v>52</v>
      </c>
      <c r="BO97" s="18">
        <f t="shared" si="76"/>
        <v>136</v>
      </c>
      <c r="BP97" s="18">
        <f t="shared" si="93"/>
        <v>110</v>
      </c>
      <c r="BQ97" s="18">
        <f t="shared" si="94"/>
        <v>44</v>
      </c>
      <c r="BR97" s="18">
        <f t="shared" si="95"/>
        <v>36</v>
      </c>
      <c r="BS97" s="18">
        <f t="shared" si="78"/>
        <v>8</v>
      </c>
      <c r="BT97" s="18">
        <f t="shared" si="79"/>
        <v>0</v>
      </c>
      <c r="BU97" s="18">
        <f t="shared" si="80"/>
        <v>0</v>
      </c>
      <c r="BV97" s="18">
        <f t="shared" si="81"/>
        <v>52</v>
      </c>
      <c r="BW97" s="18">
        <f t="shared" si="82"/>
        <v>32</v>
      </c>
      <c r="BX97" s="18">
        <f t="shared" si="83"/>
        <v>41</v>
      </c>
      <c r="BY97" s="18">
        <f t="shared" si="84"/>
        <v>26</v>
      </c>
      <c r="BZ97" s="18">
        <f t="shared" si="85"/>
        <v>1</v>
      </c>
      <c r="CA97" s="18">
        <f t="shared" si="86"/>
        <v>0</v>
      </c>
      <c r="CB97" s="18">
        <f t="shared" si="87"/>
        <v>2</v>
      </c>
      <c r="CC97" s="18">
        <f t="shared" si="88"/>
        <v>18</v>
      </c>
      <c r="CD97" s="18">
        <f t="shared" si="89"/>
        <v>4</v>
      </c>
      <c r="CE97" s="18">
        <f t="shared" si="90"/>
        <v>22</v>
      </c>
      <c r="CF97" s="18">
        <f t="shared" si="91"/>
        <v>25</v>
      </c>
      <c r="CG97" s="18">
        <f t="shared" si="92"/>
        <v>1</v>
      </c>
      <c r="CH97" s="19">
        <f t="shared" si="69"/>
        <v>0.4</v>
      </c>
      <c r="CI97" s="20">
        <f t="shared" si="70"/>
        <v>0.4925373134328358</v>
      </c>
      <c r="CJ97" s="20">
        <f t="shared" si="71"/>
        <v>0.47272727272727272</v>
      </c>
      <c r="CK97" s="21">
        <f t="shared" si="77"/>
        <v>0.96526458616010857</v>
      </c>
      <c r="CL97" s="49">
        <f t="shared" si="72"/>
        <v>31.374692209450842</v>
      </c>
      <c r="CM97" s="49">
        <f t="shared" si="73"/>
        <v>3.574332023861488</v>
      </c>
      <c r="CN97" s="56">
        <f t="shared" si="74"/>
        <v>29.83</v>
      </c>
      <c r="CO97" s="9" t="s">
        <v>53</v>
      </c>
    </row>
    <row r="98" spans="63:93" x14ac:dyDescent="0.3">
      <c r="BK98" s="154">
        <v>17</v>
      </c>
      <c r="BL98" s="189">
        <v>6</v>
      </c>
      <c r="BM98" s="190" t="s">
        <v>55</v>
      </c>
      <c r="BN98" s="245">
        <f t="shared" si="75"/>
        <v>3</v>
      </c>
      <c r="BO98" s="245">
        <f t="shared" si="76"/>
        <v>3</v>
      </c>
      <c r="BP98" s="245">
        <f t="shared" si="93"/>
        <v>3</v>
      </c>
      <c r="BQ98" s="245">
        <f t="shared" si="94"/>
        <v>0</v>
      </c>
      <c r="BR98" s="245">
        <f t="shared" si="95"/>
        <v>0</v>
      </c>
      <c r="BS98" s="245">
        <f t="shared" si="78"/>
        <v>0</v>
      </c>
      <c r="BT98" s="245">
        <f t="shared" si="79"/>
        <v>0</v>
      </c>
      <c r="BU98" s="245">
        <f t="shared" si="80"/>
        <v>0</v>
      </c>
      <c r="BV98" s="245">
        <f t="shared" si="81"/>
        <v>0</v>
      </c>
      <c r="BW98" s="245">
        <f t="shared" si="82"/>
        <v>0</v>
      </c>
      <c r="BX98" s="245">
        <f t="shared" si="83"/>
        <v>0</v>
      </c>
      <c r="BY98" s="245">
        <f t="shared" si="84"/>
        <v>0</v>
      </c>
      <c r="BZ98" s="245">
        <f t="shared" si="85"/>
        <v>0</v>
      </c>
      <c r="CA98" s="245">
        <f t="shared" si="86"/>
        <v>0</v>
      </c>
      <c r="CB98" s="245">
        <f t="shared" si="87"/>
        <v>0</v>
      </c>
      <c r="CC98" s="245">
        <f t="shared" si="88"/>
        <v>0</v>
      </c>
      <c r="CD98" s="245">
        <f t="shared" si="89"/>
        <v>0</v>
      </c>
      <c r="CE98" s="245">
        <f t="shared" si="90"/>
        <v>0</v>
      </c>
      <c r="CF98" s="245">
        <f t="shared" si="91"/>
        <v>2</v>
      </c>
      <c r="CG98" s="245">
        <f t="shared" si="92"/>
        <v>0</v>
      </c>
      <c r="CH98" s="191">
        <f t="shared" si="69"/>
        <v>0</v>
      </c>
      <c r="CI98" s="192">
        <f t="shared" si="70"/>
        <v>0</v>
      </c>
      <c r="CJ98" s="192">
        <f t="shared" si="71"/>
        <v>0</v>
      </c>
      <c r="CK98" s="193">
        <f t="shared" si="77"/>
        <v>0</v>
      </c>
      <c r="CL98" s="194">
        <f t="shared" si="72"/>
        <v>-0.31600000000000028</v>
      </c>
      <c r="CM98" s="194">
        <f t="shared" si="73"/>
        <v>-1.8960000000000017</v>
      </c>
      <c r="CN98" s="195">
        <f t="shared" si="74"/>
        <v>-0.28600000000000003</v>
      </c>
      <c r="CO98" s="190" t="s">
        <v>55</v>
      </c>
    </row>
    <row r="99" spans="63:93" x14ac:dyDescent="0.3">
      <c r="BK99" s="154">
        <v>18</v>
      </c>
      <c r="BL99" s="196">
        <v>32</v>
      </c>
      <c r="BM99" s="197" t="s">
        <v>57</v>
      </c>
      <c r="BN99" s="287">
        <f t="shared" si="75"/>
        <v>3</v>
      </c>
      <c r="BO99" s="287">
        <f t="shared" si="76"/>
        <v>11</v>
      </c>
      <c r="BP99" s="287">
        <f t="shared" si="93"/>
        <v>10</v>
      </c>
      <c r="BQ99" s="287">
        <f t="shared" si="94"/>
        <v>7</v>
      </c>
      <c r="BR99" s="287">
        <f t="shared" si="95"/>
        <v>4</v>
      </c>
      <c r="BS99" s="287">
        <f t="shared" si="78"/>
        <v>1</v>
      </c>
      <c r="BT99" s="287">
        <f t="shared" si="79"/>
        <v>1</v>
      </c>
      <c r="BU99" s="287">
        <f t="shared" si="80"/>
        <v>1</v>
      </c>
      <c r="BV99" s="287">
        <f t="shared" si="81"/>
        <v>13</v>
      </c>
      <c r="BW99" s="287">
        <f t="shared" si="82"/>
        <v>10</v>
      </c>
      <c r="BX99" s="287">
        <f t="shared" si="83"/>
        <v>7</v>
      </c>
      <c r="BY99" s="287">
        <f t="shared" si="84"/>
        <v>5</v>
      </c>
      <c r="BZ99" s="287">
        <f t="shared" si="85"/>
        <v>1</v>
      </c>
      <c r="CA99" s="287">
        <f t="shared" si="86"/>
        <v>0</v>
      </c>
      <c r="CB99" s="287">
        <f t="shared" si="87"/>
        <v>0</v>
      </c>
      <c r="CC99" s="287">
        <f t="shared" si="88"/>
        <v>1</v>
      </c>
      <c r="CD99" s="287">
        <f t="shared" si="89"/>
        <v>0</v>
      </c>
      <c r="CE99" s="287">
        <f t="shared" si="90"/>
        <v>1</v>
      </c>
      <c r="CF99" s="287">
        <f t="shared" si="91"/>
        <v>0</v>
      </c>
      <c r="CG99" s="287">
        <f t="shared" si="92"/>
        <v>0</v>
      </c>
      <c r="CH99" s="198">
        <f t="shared" si="69"/>
        <v>0.7</v>
      </c>
      <c r="CI99" s="199">
        <f t="shared" si="70"/>
        <v>0.72727272727272729</v>
      </c>
      <c r="CJ99" s="199">
        <f t="shared" si="71"/>
        <v>1.3</v>
      </c>
      <c r="CK99" s="200">
        <f t="shared" si="77"/>
        <v>2.0272727272727273</v>
      </c>
      <c r="CL99" s="201">
        <f t="shared" si="72"/>
        <v>6.4395802469135788</v>
      </c>
      <c r="CM99" s="201">
        <f t="shared" si="73"/>
        <v>6.4395802469135788</v>
      </c>
      <c r="CN99" s="202">
        <f t="shared" si="74"/>
        <v>5.85</v>
      </c>
      <c r="CO99" s="197" t="s">
        <v>57</v>
      </c>
    </row>
    <row r="100" spans="63:93" s="290" customFormat="1" x14ac:dyDescent="0.3">
      <c r="BK100" s="290">
        <v>19</v>
      </c>
      <c r="BL100" s="61"/>
      <c r="BM100" s="75" t="s">
        <v>595</v>
      </c>
      <c r="BN100" s="18">
        <f t="shared" si="75"/>
        <v>4</v>
      </c>
      <c r="BO100" s="18">
        <f t="shared" si="76"/>
        <v>11</v>
      </c>
      <c r="BP100" s="18">
        <f t="shared" si="93"/>
        <v>8</v>
      </c>
      <c r="BQ100" s="18">
        <f t="shared" si="94"/>
        <v>0</v>
      </c>
      <c r="BR100" s="18">
        <f t="shared" si="95"/>
        <v>0</v>
      </c>
      <c r="BS100" s="18">
        <f t="shared" si="78"/>
        <v>0</v>
      </c>
      <c r="BT100" s="18">
        <f t="shared" si="79"/>
        <v>0</v>
      </c>
      <c r="BU100" s="18">
        <f t="shared" si="80"/>
        <v>0</v>
      </c>
      <c r="BV100" s="18">
        <f t="shared" si="81"/>
        <v>0</v>
      </c>
      <c r="BW100" s="18">
        <f t="shared" si="82"/>
        <v>1</v>
      </c>
      <c r="BX100" s="18">
        <f t="shared" si="83"/>
        <v>2</v>
      </c>
      <c r="BY100" s="18">
        <f t="shared" si="84"/>
        <v>0</v>
      </c>
      <c r="BZ100" s="18">
        <f t="shared" si="85"/>
        <v>0</v>
      </c>
      <c r="CA100" s="18">
        <f t="shared" si="86"/>
        <v>0</v>
      </c>
      <c r="CB100" s="18">
        <f t="shared" si="87"/>
        <v>0</v>
      </c>
      <c r="CC100" s="18">
        <f t="shared" si="88"/>
        <v>3</v>
      </c>
      <c r="CD100" s="18">
        <f t="shared" si="89"/>
        <v>0</v>
      </c>
      <c r="CE100" s="18">
        <f t="shared" si="90"/>
        <v>3</v>
      </c>
      <c r="CF100" s="18">
        <f t="shared" si="91"/>
        <v>6</v>
      </c>
      <c r="CG100" s="18">
        <f t="shared" si="92"/>
        <v>1</v>
      </c>
      <c r="CH100" s="151">
        <f t="shared" si="69"/>
        <v>0</v>
      </c>
      <c r="CI100" s="150">
        <f t="shared" si="70"/>
        <v>0.27272727272727271</v>
      </c>
      <c r="CJ100" s="150">
        <f t="shared" si="71"/>
        <v>0</v>
      </c>
      <c r="CK100" s="149">
        <f t="shared" si="77"/>
        <v>0.27272727272727271</v>
      </c>
      <c r="CL100" s="126">
        <f t="shared" si="72"/>
        <v>-0.26121212121212167</v>
      </c>
      <c r="CM100" s="126">
        <f t="shared" si="73"/>
        <v>-0.52242424242424335</v>
      </c>
      <c r="CN100" s="127">
        <f t="shared" si="74"/>
        <v>-0.11799999999999999</v>
      </c>
      <c r="CO100" s="75" t="s">
        <v>596</v>
      </c>
    </row>
    <row r="101" spans="63:93" x14ac:dyDescent="0.3">
      <c r="BK101" s="290">
        <v>20</v>
      </c>
      <c r="BL101" s="60">
        <v>77</v>
      </c>
      <c r="BM101" s="78" t="s">
        <v>60</v>
      </c>
      <c r="BN101" s="363">
        <f t="shared" si="75"/>
        <v>4</v>
      </c>
      <c r="BO101" s="363">
        <f t="shared" si="76"/>
        <v>8</v>
      </c>
      <c r="BP101" s="363">
        <f t="shared" si="93"/>
        <v>6</v>
      </c>
      <c r="BQ101" s="363">
        <f t="shared" si="94"/>
        <v>0</v>
      </c>
      <c r="BR101" s="363">
        <f t="shared" si="95"/>
        <v>0</v>
      </c>
      <c r="BS101" s="363">
        <f t="shared" si="78"/>
        <v>0</v>
      </c>
      <c r="BT101" s="363">
        <f t="shared" si="79"/>
        <v>0</v>
      </c>
      <c r="BU101" s="363">
        <f t="shared" si="80"/>
        <v>0</v>
      </c>
      <c r="BV101" s="363">
        <f t="shared" si="81"/>
        <v>0</v>
      </c>
      <c r="BW101" s="363">
        <f t="shared" si="82"/>
        <v>1</v>
      </c>
      <c r="BX101" s="363">
        <f t="shared" si="83"/>
        <v>1</v>
      </c>
      <c r="BY101" s="363">
        <f t="shared" si="84"/>
        <v>0</v>
      </c>
      <c r="BZ101" s="363">
        <f t="shared" si="85"/>
        <v>0</v>
      </c>
      <c r="CA101" s="363">
        <f t="shared" si="86"/>
        <v>0</v>
      </c>
      <c r="CB101" s="363">
        <f t="shared" si="87"/>
        <v>0</v>
      </c>
      <c r="CC101" s="363">
        <f t="shared" si="88"/>
        <v>1</v>
      </c>
      <c r="CD101" s="363">
        <f t="shared" si="89"/>
        <v>1</v>
      </c>
      <c r="CE101" s="363">
        <f t="shared" si="90"/>
        <v>2</v>
      </c>
      <c r="CF101" s="363">
        <f t="shared" si="91"/>
        <v>5</v>
      </c>
      <c r="CG101" s="363">
        <f t="shared" si="92"/>
        <v>0</v>
      </c>
      <c r="CH101" s="191">
        <f t="shared" si="69"/>
        <v>0</v>
      </c>
      <c r="CI101" s="65">
        <f t="shared" si="70"/>
        <v>0.25</v>
      </c>
      <c r="CJ101" s="65">
        <f t="shared" si="71"/>
        <v>0</v>
      </c>
      <c r="CK101" s="66">
        <f t="shared" si="77"/>
        <v>0.25</v>
      </c>
      <c r="CL101" s="76">
        <f t="shared" si="72"/>
        <v>7.7079365079365303E-2</v>
      </c>
      <c r="CM101" s="76">
        <f t="shared" si="73"/>
        <v>0.23123809523809591</v>
      </c>
      <c r="CN101" s="77">
        <f t="shared" si="74"/>
        <v>0.10000000000000009</v>
      </c>
      <c r="CO101" s="78" t="s">
        <v>60</v>
      </c>
    </row>
    <row r="102" spans="63:93" x14ac:dyDescent="0.3">
      <c r="BK102" s="290">
        <v>21</v>
      </c>
      <c r="BL102" s="189">
        <v>25</v>
      </c>
      <c r="BM102" s="364" t="s">
        <v>111</v>
      </c>
      <c r="BN102" s="245">
        <f t="shared" si="75"/>
        <v>8</v>
      </c>
      <c r="BO102" s="245">
        <f t="shared" si="76"/>
        <v>24</v>
      </c>
      <c r="BP102" s="245">
        <f t="shared" si="93"/>
        <v>19</v>
      </c>
      <c r="BQ102" s="245">
        <f t="shared" si="94"/>
        <v>3</v>
      </c>
      <c r="BR102" s="245">
        <f t="shared" si="95"/>
        <v>3</v>
      </c>
      <c r="BS102" s="245">
        <f t="shared" si="78"/>
        <v>0</v>
      </c>
      <c r="BT102" s="245">
        <f t="shared" si="79"/>
        <v>0</v>
      </c>
      <c r="BU102" s="245">
        <f t="shared" si="80"/>
        <v>0</v>
      </c>
      <c r="BV102" s="245">
        <f t="shared" si="81"/>
        <v>3</v>
      </c>
      <c r="BW102" s="245">
        <f t="shared" si="82"/>
        <v>3</v>
      </c>
      <c r="BX102" s="245">
        <f t="shared" si="83"/>
        <v>3</v>
      </c>
      <c r="BY102" s="245">
        <f t="shared" si="84"/>
        <v>0</v>
      </c>
      <c r="BZ102" s="245">
        <f t="shared" si="85"/>
        <v>0</v>
      </c>
      <c r="CA102" s="245">
        <f t="shared" si="86"/>
        <v>0</v>
      </c>
      <c r="CB102" s="245">
        <f t="shared" si="87"/>
        <v>0</v>
      </c>
      <c r="CC102" s="245">
        <f t="shared" si="88"/>
        <v>3</v>
      </c>
      <c r="CD102" s="245">
        <f t="shared" si="89"/>
        <v>2</v>
      </c>
      <c r="CE102" s="245">
        <f t="shared" si="90"/>
        <v>5</v>
      </c>
      <c r="CF102" s="245">
        <f t="shared" si="91"/>
        <v>9</v>
      </c>
      <c r="CG102" s="245">
        <f t="shared" si="92"/>
        <v>0</v>
      </c>
      <c r="CH102" s="191">
        <f t="shared" si="69"/>
        <v>0.15789473684210525</v>
      </c>
      <c r="CI102" s="192">
        <f t="shared" si="70"/>
        <v>0.33333333333333331</v>
      </c>
      <c r="CJ102" s="192">
        <f t="shared" si="71"/>
        <v>0.15789473684210525</v>
      </c>
      <c r="CK102" s="193">
        <f t="shared" si="77"/>
        <v>0.49122807017543857</v>
      </c>
      <c r="CL102" s="194">
        <f t="shared" si="72"/>
        <v>1.3846222222222231</v>
      </c>
      <c r="CM102" s="194">
        <f t="shared" si="73"/>
        <v>1.1328727272727279</v>
      </c>
      <c r="CN102" s="195">
        <f t="shared" si="74"/>
        <v>1.6880000000000002</v>
      </c>
      <c r="CO102" s="364" t="s">
        <v>111</v>
      </c>
    </row>
    <row r="103" spans="63:93" x14ac:dyDescent="0.3">
      <c r="BK103" s="290">
        <v>22</v>
      </c>
      <c r="BL103" s="196">
        <v>21</v>
      </c>
      <c r="BM103" s="197" t="s">
        <v>61</v>
      </c>
      <c r="BN103" s="287">
        <f t="shared" si="75"/>
        <v>15</v>
      </c>
      <c r="BO103" s="287">
        <f t="shared" si="76"/>
        <v>39</v>
      </c>
      <c r="BP103" s="287">
        <f t="shared" si="93"/>
        <v>35</v>
      </c>
      <c r="BQ103" s="287">
        <f t="shared" si="94"/>
        <v>24</v>
      </c>
      <c r="BR103" s="287">
        <f t="shared" si="95"/>
        <v>18</v>
      </c>
      <c r="BS103" s="287">
        <f t="shared" si="78"/>
        <v>5</v>
      </c>
      <c r="BT103" s="287">
        <f t="shared" si="79"/>
        <v>0</v>
      </c>
      <c r="BU103" s="287">
        <f t="shared" si="80"/>
        <v>1</v>
      </c>
      <c r="BV103" s="287">
        <f t="shared" si="81"/>
        <v>32</v>
      </c>
      <c r="BW103" s="287">
        <f t="shared" si="82"/>
        <v>24</v>
      </c>
      <c r="BX103" s="287">
        <f t="shared" si="83"/>
        <v>17</v>
      </c>
      <c r="BY103" s="287">
        <f t="shared" si="84"/>
        <v>13</v>
      </c>
      <c r="BZ103" s="287">
        <f t="shared" si="85"/>
        <v>0</v>
      </c>
      <c r="CA103" s="287">
        <f t="shared" si="86"/>
        <v>0</v>
      </c>
      <c r="CB103" s="287">
        <f t="shared" si="87"/>
        <v>2</v>
      </c>
      <c r="CC103" s="287">
        <f t="shared" si="88"/>
        <v>2</v>
      </c>
      <c r="CD103" s="287">
        <f t="shared" si="89"/>
        <v>0</v>
      </c>
      <c r="CE103" s="287">
        <f t="shared" si="90"/>
        <v>2</v>
      </c>
      <c r="CF103" s="287">
        <f t="shared" si="91"/>
        <v>3</v>
      </c>
      <c r="CG103" s="287">
        <f t="shared" si="92"/>
        <v>0</v>
      </c>
      <c r="CH103" s="198">
        <f t="shared" si="69"/>
        <v>0.68571428571428572</v>
      </c>
      <c r="CI103" s="199">
        <f t="shared" si="70"/>
        <v>0.66666666666666663</v>
      </c>
      <c r="CJ103" s="199">
        <f t="shared" si="71"/>
        <v>0.91428571428571426</v>
      </c>
      <c r="CK103" s="200">
        <f t="shared" si="77"/>
        <v>1.5809523809523809</v>
      </c>
      <c r="CL103" s="201">
        <f t="shared" si="72"/>
        <v>17.870885361552027</v>
      </c>
      <c r="CM103" s="201">
        <f t="shared" si="73"/>
        <v>5.273376008326828</v>
      </c>
      <c r="CN103" s="202">
        <f t="shared" si="74"/>
        <v>16.785999999999998</v>
      </c>
      <c r="CO103" s="197" t="s">
        <v>61</v>
      </c>
    </row>
    <row r="104" spans="63:93" x14ac:dyDescent="0.3">
      <c r="BK104" s="290">
        <v>23</v>
      </c>
      <c r="BL104" s="61">
        <v>9</v>
      </c>
      <c r="BM104" s="75" t="s">
        <v>63</v>
      </c>
      <c r="BN104" s="18">
        <f t="shared" si="75"/>
        <v>35</v>
      </c>
      <c r="BO104" s="18">
        <f t="shared" si="76"/>
        <v>95</v>
      </c>
      <c r="BP104" s="18">
        <f t="shared" si="93"/>
        <v>74</v>
      </c>
      <c r="BQ104" s="18">
        <f t="shared" si="94"/>
        <v>23</v>
      </c>
      <c r="BR104" s="18">
        <f t="shared" si="95"/>
        <v>23</v>
      </c>
      <c r="BS104" s="18">
        <f t="shared" si="78"/>
        <v>0</v>
      </c>
      <c r="BT104" s="18">
        <f t="shared" si="79"/>
        <v>0</v>
      </c>
      <c r="BU104" s="18">
        <f t="shared" si="80"/>
        <v>0</v>
      </c>
      <c r="BV104" s="18">
        <f t="shared" si="81"/>
        <v>23</v>
      </c>
      <c r="BW104" s="18">
        <f t="shared" si="82"/>
        <v>20</v>
      </c>
      <c r="BX104" s="18">
        <f t="shared" si="83"/>
        <v>28</v>
      </c>
      <c r="BY104" s="18">
        <f t="shared" si="84"/>
        <v>22</v>
      </c>
      <c r="BZ104" s="18">
        <f t="shared" si="85"/>
        <v>1</v>
      </c>
      <c r="CA104" s="18">
        <f t="shared" si="86"/>
        <v>0</v>
      </c>
      <c r="CB104" s="18">
        <f t="shared" si="87"/>
        <v>0</v>
      </c>
      <c r="CC104" s="18">
        <f t="shared" si="88"/>
        <v>20</v>
      </c>
      <c r="CD104" s="18">
        <f t="shared" si="89"/>
        <v>2</v>
      </c>
      <c r="CE104" s="18">
        <f t="shared" si="90"/>
        <v>22</v>
      </c>
      <c r="CF104" s="18">
        <f t="shared" si="91"/>
        <v>22</v>
      </c>
      <c r="CG104" s="18">
        <f t="shared" si="92"/>
        <v>0</v>
      </c>
      <c r="CH104" s="151">
        <f t="shared" si="69"/>
        <v>0.3108108108108108</v>
      </c>
      <c r="CI104" s="150">
        <f t="shared" si="70"/>
        <v>0.46875</v>
      </c>
      <c r="CJ104" s="150">
        <f t="shared" si="71"/>
        <v>0.3108108108108108</v>
      </c>
      <c r="CK104" s="149">
        <f t="shared" si="77"/>
        <v>0.77956081081081074</v>
      </c>
      <c r="CL104" s="126">
        <f t="shared" si="72"/>
        <v>19.493527065527076</v>
      </c>
      <c r="CM104" s="126">
        <f t="shared" si="73"/>
        <v>3.580443746729463</v>
      </c>
      <c r="CN104" s="127">
        <f t="shared" si="74"/>
        <v>17.854000000000003</v>
      </c>
      <c r="CO104" s="75" t="s">
        <v>63</v>
      </c>
    </row>
    <row r="105" spans="63:93" x14ac:dyDescent="0.3">
      <c r="BK105" s="290">
        <v>24</v>
      </c>
      <c r="BL105" s="61">
        <v>7</v>
      </c>
      <c r="BM105" s="75" t="s">
        <v>66</v>
      </c>
      <c r="BN105" s="18">
        <f t="shared" si="75"/>
        <v>34</v>
      </c>
      <c r="BO105" s="18">
        <f t="shared" si="76"/>
        <v>118</v>
      </c>
      <c r="BP105" s="18">
        <f t="shared" si="93"/>
        <v>103</v>
      </c>
      <c r="BQ105" s="18">
        <f t="shared" si="94"/>
        <v>48</v>
      </c>
      <c r="BR105" s="18">
        <f t="shared" si="95"/>
        <v>38</v>
      </c>
      <c r="BS105" s="18">
        <f t="shared" si="78"/>
        <v>8</v>
      </c>
      <c r="BT105" s="18">
        <f t="shared" si="79"/>
        <v>2</v>
      </c>
      <c r="BU105" s="18">
        <f t="shared" si="80"/>
        <v>0</v>
      </c>
      <c r="BV105" s="18">
        <f t="shared" si="81"/>
        <v>60</v>
      </c>
      <c r="BW105" s="18">
        <f t="shared" si="82"/>
        <v>31</v>
      </c>
      <c r="BX105" s="18">
        <f t="shared" si="83"/>
        <v>51</v>
      </c>
      <c r="BY105" s="18">
        <f t="shared" si="84"/>
        <v>30</v>
      </c>
      <c r="BZ105" s="18">
        <f t="shared" si="85"/>
        <v>3</v>
      </c>
      <c r="CA105" s="18">
        <f t="shared" si="86"/>
        <v>0</v>
      </c>
      <c r="CB105" s="18">
        <f t="shared" si="87"/>
        <v>0</v>
      </c>
      <c r="CC105" s="18">
        <f t="shared" si="88"/>
        <v>12</v>
      </c>
      <c r="CD105" s="18">
        <f t="shared" si="89"/>
        <v>3</v>
      </c>
      <c r="CE105" s="18">
        <f t="shared" si="90"/>
        <v>15</v>
      </c>
      <c r="CF105" s="18">
        <f t="shared" si="91"/>
        <v>13</v>
      </c>
      <c r="CG105" s="18">
        <f t="shared" si="92"/>
        <v>1</v>
      </c>
      <c r="CH105" s="151">
        <f t="shared" si="69"/>
        <v>0.46601941747572817</v>
      </c>
      <c r="CI105" s="150">
        <f t="shared" si="70"/>
        <v>0.53389830508474578</v>
      </c>
      <c r="CJ105" s="150">
        <f t="shared" si="71"/>
        <v>0.58252427184466016</v>
      </c>
      <c r="CK105" s="149">
        <f t="shared" si="77"/>
        <v>1.1164225769294061</v>
      </c>
      <c r="CL105" s="126">
        <f t="shared" si="72"/>
        <v>33.536511247443713</v>
      </c>
      <c r="CM105" s="126">
        <f t="shared" si="73"/>
        <v>3.8945625964773347</v>
      </c>
      <c r="CN105" s="127">
        <f t="shared" si="74"/>
        <v>30.955999999999992</v>
      </c>
      <c r="CO105" s="75" t="s">
        <v>66</v>
      </c>
    </row>
    <row r="106" spans="63:93" x14ac:dyDescent="0.3">
      <c r="BK106" s="290">
        <v>25</v>
      </c>
      <c r="BL106" s="5">
        <v>51</v>
      </c>
      <c r="BM106" s="9" t="s">
        <v>68</v>
      </c>
      <c r="BN106" s="18">
        <f t="shared" si="75"/>
        <v>56</v>
      </c>
      <c r="BO106" s="18">
        <f t="shared" si="76"/>
        <v>170</v>
      </c>
      <c r="BP106" s="18">
        <f t="shared" si="93"/>
        <v>141</v>
      </c>
      <c r="BQ106" s="18">
        <f t="shared" si="94"/>
        <v>59</v>
      </c>
      <c r="BR106" s="18">
        <f t="shared" si="95"/>
        <v>51</v>
      </c>
      <c r="BS106" s="18">
        <f t="shared" si="78"/>
        <v>8</v>
      </c>
      <c r="BT106" s="18">
        <f t="shared" si="79"/>
        <v>0</v>
      </c>
      <c r="BU106" s="18">
        <f t="shared" si="80"/>
        <v>0</v>
      </c>
      <c r="BV106" s="18">
        <f t="shared" si="81"/>
        <v>67</v>
      </c>
      <c r="BW106" s="18">
        <f t="shared" si="82"/>
        <v>46</v>
      </c>
      <c r="BX106" s="18">
        <f t="shared" si="83"/>
        <v>44</v>
      </c>
      <c r="BY106" s="18">
        <f t="shared" si="84"/>
        <v>28</v>
      </c>
      <c r="BZ106" s="18">
        <f t="shared" si="85"/>
        <v>0</v>
      </c>
      <c r="CA106" s="18">
        <f t="shared" si="86"/>
        <v>0</v>
      </c>
      <c r="CB106" s="18">
        <f t="shared" si="87"/>
        <v>2</v>
      </c>
      <c r="CC106" s="18">
        <f t="shared" si="88"/>
        <v>23</v>
      </c>
      <c r="CD106" s="18">
        <f t="shared" si="89"/>
        <v>4</v>
      </c>
      <c r="CE106" s="18">
        <f t="shared" si="90"/>
        <v>27</v>
      </c>
      <c r="CF106" s="18">
        <f t="shared" si="91"/>
        <v>7</v>
      </c>
      <c r="CG106" s="18">
        <f t="shared" si="92"/>
        <v>2</v>
      </c>
      <c r="CH106" s="19">
        <f t="shared" si="69"/>
        <v>0.41843971631205673</v>
      </c>
      <c r="CI106" s="20">
        <f t="shared" si="70"/>
        <v>0.50588235294117645</v>
      </c>
      <c r="CJ106" s="20">
        <f t="shared" si="71"/>
        <v>0.47517730496453903</v>
      </c>
      <c r="CK106" s="21">
        <f t="shared" si="77"/>
        <v>0.98105965790571548</v>
      </c>
      <c r="CL106" s="49">
        <f t="shared" si="72"/>
        <v>38.90017777777777</v>
      </c>
      <c r="CM106" s="49">
        <f t="shared" si="73"/>
        <v>3.4323686274509799</v>
      </c>
      <c r="CN106" s="56">
        <f t="shared" si="74"/>
        <v>38.043999999999997</v>
      </c>
      <c r="CO106" s="9" t="s">
        <v>68</v>
      </c>
    </row>
    <row r="107" spans="63:93" x14ac:dyDescent="0.3">
      <c r="BK107" s="290">
        <v>26</v>
      </c>
      <c r="BL107" s="60">
        <v>25</v>
      </c>
      <c r="BM107" s="78" t="s">
        <v>69</v>
      </c>
      <c r="BN107" s="363">
        <f t="shared" si="75"/>
        <v>8</v>
      </c>
      <c r="BO107" s="363">
        <f t="shared" si="76"/>
        <v>15</v>
      </c>
      <c r="BP107" s="363">
        <f t="shared" si="93"/>
        <v>11</v>
      </c>
      <c r="BQ107" s="363">
        <f t="shared" si="94"/>
        <v>5</v>
      </c>
      <c r="BR107" s="363">
        <f t="shared" si="95"/>
        <v>3</v>
      </c>
      <c r="BS107" s="363">
        <f t="shared" si="78"/>
        <v>2</v>
      </c>
      <c r="BT107" s="363">
        <f t="shared" si="79"/>
        <v>0</v>
      </c>
      <c r="BU107" s="363">
        <f t="shared" si="80"/>
        <v>0</v>
      </c>
      <c r="BV107" s="363">
        <f t="shared" si="81"/>
        <v>7</v>
      </c>
      <c r="BW107" s="363">
        <f t="shared" si="82"/>
        <v>6</v>
      </c>
      <c r="BX107" s="363">
        <f t="shared" si="83"/>
        <v>4</v>
      </c>
      <c r="BY107" s="363">
        <f t="shared" si="84"/>
        <v>0</v>
      </c>
      <c r="BZ107" s="363">
        <f t="shared" si="85"/>
        <v>0</v>
      </c>
      <c r="CA107" s="363">
        <f t="shared" si="86"/>
        <v>0</v>
      </c>
      <c r="CB107" s="363">
        <f t="shared" si="87"/>
        <v>0</v>
      </c>
      <c r="CC107" s="363">
        <f t="shared" si="88"/>
        <v>3</v>
      </c>
      <c r="CD107" s="363">
        <f t="shared" si="89"/>
        <v>1</v>
      </c>
      <c r="CE107" s="363">
        <f t="shared" si="90"/>
        <v>4</v>
      </c>
      <c r="CF107" s="363">
        <f t="shared" si="91"/>
        <v>3</v>
      </c>
      <c r="CG107" s="363">
        <f t="shared" si="92"/>
        <v>0</v>
      </c>
      <c r="CH107" s="64">
        <f t="shared" si="69"/>
        <v>0.45454545454545453</v>
      </c>
      <c r="CI107" s="65">
        <f t="shared" si="70"/>
        <v>0.6</v>
      </c>
      <c r="CJ107" s="65">
        <f t="shared" si="71"/>
        <v>0.63636363636363635</v>
      </c>
      <c r="CK107" s="66">
        <f t="shared" si="77"/>
        <v>1.2363636363636363</v>
      </c>
      <c r="CL107" s="76">
        <f t="shared" si="72"/>
        <v>3.6384210526315783</v>
      </c>
      <c r="CM107" s="76">
        <f t="shared" si="73"/>
        <v>4.0932236842105256</v>
      </c>
      <c r="CN107" s="77">
        <f t="shared" si="74"/>
        <v>3.7359999999999993</v>
      </c>
      <c r="CO107" s="78" t="s">
        <v>69</v>
      </c>
    </row>
    <row r="108" spans="63:93" s="290" customFormat="1" x14ac:dyDescent="0.3">
      <c r="BK108" s="290">
        <v>27</v>
      </c>
      <c r="BL108" s="61"/>
      <c r="BM108" s="75" t="s">
        <v>556</v>
      </c>
      <c r="BN108" s="18">
        <f t="shared" si="75"/>
        <v>3</v>
      </c>
      <c r="BO108" s="18">
        <f t="shared" si="76"/>
        <v>7</v>
      </c>
      <c r="BP108" s="18">
        <f t="shared" si="93"/>
        <v>5</v>
      </c>
      <c r="BQ108" s="18">
        <f t="shared" si="94"/>
        <v>0</v>
      </c>
      <c r="BR108" s="18">
        <f t="shared" si="95"/>
        <v>0</v>
      </c>
      <c r="BS108" s="18">
        <f t="shared" si="78"/>
        <v>0</v>
      </c>
      <c r="BT108" s="18">
        <f t="shared" si="79"/>
        <v>0</v>
      </c>
      <c r="BU108" s="18">
        <f t="shared" si="80"/>
        <v>0</v>
      </c>
      <c r="BV108" s="18">
        <f t="shared" si="81"/>
        <v>0</v>
      </c>
      <c r="BW108" s="18">
        <f t="shared" si="82"/>
        <v>1</v>
      </c>
      <c r="BX108" s="18">
        <f t="shared" si="83"/>
        <v>0</v>
      </c>
      <c r="BY108" s="18">
        <f t="shared" si="84"/>
        <v>1</v>
      </c>
      <c r="BZ108" s="18">
        <f t="shared" si="85"/>
        <v>0</v>
      </c>
      <c r="CA108" s="18">
        <f t="shared" si="86"/>
        <v>0</v>
      </c>
      <c r="CB108" s="18">
        <f t="shared" si="87"/>
        <v>0</v>
      </c>
      <c r="CC108" s="18">
        <f t="shared" si="88"/>
        <v>2</v>
      </c>
      <c r="CD108" s="18">
        <f t="shared" si="89"/>
        <v>0</v>
      </c>
      <c r="CE108" s="18">
        <f t="shared" si="90"/>
        <v>2</v>
      </c>
      <c r="CF108" s="18">
        <f t="shared" si="91"/>
        <v>1</v>
      </c>
      <c r="CG108" s="18">
        <f t="shared" si="92"/>
        <v>0</v>
      </c>
      <c r="CH108" s="151">
        <f t="shared" si="69"/>
        <v>0</v>
      </c>
      <c r="CI108" s="150">
        <f t="shared" si="70"/>
        <v>0.2857142857142857</v>
      </c>
      <c r="CJ108" s="150">
        <f t="shared" si="71"/>
        <v>0</v>
      </c>
      <c r="CK108" s="149">
        <f t="shared" si="77"/>
        <v>0.2857142857142857</v>
      </c>
      <c r="CL108" s="126">
        <f t="shared" si="72"/>
        <v>0.45904761904761937</v>
      </c>
      <c r="CM108" s="126">
        <f t="shared" si="73"/>
        <v>1.6525714285714297</v>
      </c>
      <c r="CN108" s="127">
        <f t="shared" si="74"/>
        <v>0.40200000000000014</v>
      </c>
      <c r="CO108" s="75" t="s">
        <v>557</v>
      </c>
    </row>
    <row r="109" spans="63:93" x14ac:dyDescent="0.3">
      <c r="BK109" s="290">
        <v>28</v>
      </c>
      <c r="BL109" s="61">
        <v>62</v>
      </c>
      <c r="BM109" s="75" t="s">
        <v>70</v>
      </c>
      <c r="BN109" s="18">
        <f t="shared" si="75"/>
        <v>11</v>
      </c>
      <c r="BO109" s="18">
        <f t="shared" si="76"/>
        <v>31</v>
      </c>
      <c r="BP109" s="18">
        <f t="shared" si="93"/>
        <v>24</v>
      </c>
      <c r="BQ109" s="18">
        <f t="shared" si="94"/>
        <v>11</v>
      </c>
      <c r="BR109" s="18">
        <f t="shared" si="95"/>
        <v>7</v>
      </c>
      <c r="BS109" s="18">
        <f t="shared" si="78"/>
        <v>4</v>
      </c>
      <c r="BT109" s="18">
        <f t="shared" si="79"/>
        <v>0</v>
      </c>
      <c r="BU109" s="18">
        <f t="shared" si="80"/>
        <v>0</v>
      </c>
      <c r="BV109" s="18">
        <f t="shared" si="81"/>
        <v>15</v>
      </c>
      <c r="BW109" s="18">
        <f t="shared" si="82"/>
        <v>11</v>
      </c>
      <c r="BX109" s="18">
        <f t="shared" si="83"/>
        <v>13</v>
      </c>
      <c r="BY109" s="18">
        <f t="shared" si="84"/>
        <v>8</v>
      </c>
      <c r="BZ109" s="18">
        <f t="shared" si="85"/>
        <v>0</v>
      </c>
      <c r="CA109" s="18">
        <f t="shared" si="86"/>
        <v>0</v>
      </c>
      <c r="CB109" s="18">
        <f t="shared" si="87"/>
        <v>0</v>
      </c>
      <c r="CC109" s="18">
        <f t="shared" si="88"/>
        <v>3</v>
      </c>
      <c r="CD109" s="18">
        <f t="shared" si="89"/>
        <v>4</v>
      </c>
      <c r="CE109" s="18">
        <f t="shared" si="90"/>
        <v>7</v>
      </c>
      <c r="CF109" s="18">
        <f t="shared" si="91"/>
        <v>4</v>
      </c>
      <c r="CG109" s="18">
        <f t="shared" si="92"/>
        <v>0</v>
      </c>
      <c r="CH109" s="151">
        <f t="shared" si="69"/>
        <v>0.45833333333333331</v>
      </c>
      <c r="CI109" s="150">
        <f t="shared" si="70"/>
        <v>0.58064516129032262</v>
      </c>
      <c r="CJ109" s="150">
        <f t="shared" si="71"/>
        <v>0.625</v>
      </c>
      <c r="CK109" s="149">
        <f t="shared" si="77"/>
        <v>1.2056451612903225</v>
      </c>
      <c r="CL109" s="126">
        <f t="shared" si="72"/>
        <v>10.495368421052625</v>
      </c>
      <c r="CM109" s="126">
        <f t="shared" si="73"/>
        <v>5.3976180451127789</v>
      </c>
      <c r="CN109" s="127">
        <f t="shared" si="74"/>
        <v>8.9979999999999993</v>
      </c>
      <c r="CO109" s="75" t="s">
        <v>70</v>
      </c>
    </row>
    <row r="110" spans="63:93" x14ac:dyDescent="0.3">
      <c r="BK110" s="290">
        <v>29</v>
      </c>
      <c r="BL110" s="60">
        <v>0</v>
      </c>
      <c r="BM110" s="78" t="s">
        <v>8</v>
      </c>
      <c r="BN110" s="363">
        <f t="shared" si="75"/>
        <v>1</v>
      </c>
      <c r="BO110" s="363">
        <f t="shared" si="76"/>
        <v>2</v>
      </c>
      <c r="BP110" s="363">
        <f t="shared" si="93"/>
        <v>2</v>
      </c>
      <c r="BQ110" s="363">
        <f t="shared" si="94"/>
        <v>0</v>
      </c>
      <c r="BR110" s="363">
        <f t="shared" si="95"/>
        <v>0</v>
      </c>
      <c r="BS110" s="363">
        <f t="shared" si="78"/>
        <v>0</v>
      </c>
      <c r="BT110" s="363">
        <f t="shared" si="79"/>
        <v>0</v>
      </c>
      <c r="BU110" s="363">
        <f t="shared" si="80"/>
        <v>0</v>
      </c>
      <c r="BV110" s="363">
        <f t="shared" si="81"/>
        <v>0</v>
      </c>
      <c r="BW110" s="363">
        <f t="shared" si="82"/>
        <v>0</v>
      </c>
      <c r="BX110" s="363">
        <f t="shared" si="83"/>
        <v>0</v>
      </c>
      <c r="BY110" s="363">
        <f t="shared" si="84"/>
        <v>0</v>
      </c>
      <c r="BZ110" s="363">
        <f t="shared" si="85"/>
        <v>0</v>
      </c>
      <c r="CA110" s="363">
        <f t="shared" si="86"/>
        <v>0</v>
      </c>
      <c r="CB110" s="363">
        <f t="shared" si="87"/>
        <v>0</v>
      </c>
      <c r="CC110" s="363">
        <f t="shared" si="88"/>
        <v>0</v>
      </c>
      <c r="CD110" s="363">
        <f t="shared" si="89"/>
        <v>0</v>
      </c>
      <c r="CE110" s="363">
        <f t="shared" si="90"/>
        <v>0</v>
      </c>
      <c r="CF110" s="363">
        <f t="shared" si="91"/>
        <v>0</v>
      </c>
      <c r="CG110" s="363">
        <f t="shared" si="92"/>
        <v>1</v>
      </c>
      <c r="CH110" s="64">
        <f t="shared" si="69"/>
        <v>0</v>
      </c>
      <c r="CI110" s="65">
        <f t="shared" si="70"/>
        <v>0</v>
      </c>
      <c r="CJ110" s="65">
        <f t="shared" si="71"/>
        <v>0</v>
      </c>
      <c r="CK110" s="66">
        <f t="shared" si="77"/>
        <v>0</v>
      </c>
      <c r="CL110" s="76">
        <f t="shared" si="72"/>
        <v>-0.53333333333333344</v>
      </c>
      <c r="CM110" s="76">
        <f t="shared" si="73"/>
        <v>-3.2000000000000006</v>
      </c>
      <c r="CN110" s="77">
        <f t="shared" si="74"/>
        <v>-0.55000000000000004</v>
      </c>
      <c r="CO110" s="78" t="s">
        <v>8</v>
      </c>
    </row>
    <row r="111" spans="63:93" s="268" customFormat="1" x14ac:dyDescent="0.3">
      <c r="BK111" s="290">
        <v>30</v>
      </c>
      <c r="BL111" s="61">
        <v>19</v>
      </c>
      <c r="BM111" s="75" t="s">
        <v>377</v>
      </c>
      <c r="BN111" s="18">
        <f t="shared" si="75"/>
        <v>2</v>
      </c>
      <c r="BO111" s="18">
        <f t="shared" si="76"/>
        <v>5</v>
      </c>
      <c r="BP111" s="18">
        <f t="shared" si="93"/>
        <v>5</v>
      </c>
      <c r="BQ111" s="18">
        <f t="shared" si="94"/>
        <v>0</v>
      </c>
      <c r="BR111" s="18">
        <f t="shared" si="95"/>
        <v>0</v>
      </c>
      <c r="BS111" s="18">
        <f t="shared" si="78"/>
        <v>0</v>
      </c>
      <c r="BT111" s="18">
        <f t="shared" si="79"/>
        <v>0</v>
      </c>
      <c r="BU111" s="18">
        <f t="shared" si="80"/>
        <v>0</v>
      </c>
      <c r="BV111" s="18">
        <f t="shared" si="81"/>
        <v>0</v>
      </c>
      <c r="BW111" s="18">
        <f t="shared" si="82"/>
        <v>1</v>
      </c>
      <c r="BX111" s="18">
        <f t="shared" si="83"/>
        <v>0</v>
      </c>
      <c r="BY111" s="18">
        <f t="shared" si="84"/>
        <v>0</v>
      </c>
      <c r="BZ111" s="18">
        <f t="shared" si="85"/>
        <v>0</v>
      </c>
      <c r="CA111" s="18">
        <f t="shared" si="86"/>
        <v>0</v>
      </c>
      <c r="CB111" s="18">
        <f t="shared" si="87"/>
        <v>0</v>
      </c>
      <c r="CC111" s="18">
        <f t="shared" si="88"/>
        <v>0</v>
      </c>
      <c r="CD111" s="18">
        <f t="shared" si="89"/>
        <v>0</v>
      </c>
      <c r="CE111" s="18">
        <f t="shared" si="90"/>
        <v>0</v>
      </c>
      <c r="CF111" s="18">
        <f t="shared" si="91"/>
        <v>4</v>
      </c>
      <c r="CG111" s="18">
        <f t="shared" si="92"/>
        <v>0</v>
      </c>
      <c r="CH111" s="151">
        <f t="shared" si="69"/>
        <v>0</v>
      </c>
      <c r="CI111" s="150">
        <f t="shared" si="70"/>
        <v>0</v>
      </c>
      <c r="CJ111" s="150">
        <f t="shared" si="71"/>
        <v>0</v>
      </c>
      <c r="CK111" s="149">
        <f t="shared" si="77"/>
        <v>0</v>
      </c>
      <c r="CL111" s="126">
        <f t="shared" si="72"/>
        <v>-0.53200000000000003</v>
      </c>
      <c r="CM111" s="126">
        <f t="shared" si="73"/>
        <v>-1.9152</v>
      </c>
      <c r="CN111" s="127">
        <f t="shared" si="74"/>
        <v>-0.48199999999999998</v>
      </c>
      <c r="CO111" s="75" t="s">
        <v>378</v>
      </c>
    </row>
    <row r="112" spans="63:93" x14ac:dyDescent="0.3">
      <c r="BK112" s="290">
        <v>31</v>
      </c>
      <c r="BL112" s="60">
        <v>3</v>
      </c>
      <c r="BM112" s="78" t="s">
        <v>5</v>
      </c>
      <c r="BN112" s="363">
        <f t="shared" si="75"/>
        <v>9</v>
      </c>
      <c r="BO112" s="363">
        <f t="shared" si="76"/>
        <v>22</v>
      </c>
      <c r="BP112" s="363">
        <f t="shared" si="93"/>
        <v>19</v>
      </c>
      <c r="BQ112" s="363">
        <f t="shared" si="94"/>
        <v>4</v>
      </c>
      <c r="BR112" s="363">
        <f t="shared" si="95"/>
        <v>4</v>
      </c>
      <c r="BS112" s="363">
        <f t="shared" si="78"/>
        <v>0</v>
      </c>
      <c r="BT112" s="363">
        <f t="shared" si="79"/>
        <v>0</v>
      </c>
      <c r="BU112" s="363">
        <f t="shared" si="80"/>
        <v>0</v>
      </c>
      <c r="BV112" s="363">
        <f t="shared" si="81"/>
        <v>4</v>
      </c>
      <c r="BW112" s="363">
        <f t="shared" si="82"/>
        <v>7</v>
      </c>
      <c r="BX112" s="363">
        <f t="shared" si="83"/>
        <v>5</v>
      </c>
      <c r="BY112" s="363">
        <f t="shared" si="84"/>
        <v>2</v>
      </c>
      <c r="BZ112" s="363">
        <f t="shared" si="85"/>
        <v>1</v>
      </c>
      <c r="CA112" s="363">
        <f t="shared" si="86"/>
        <v>0</v>
      </c>
      <c r="CB112" s="363">
        <f t="shared" si="87"/>
        <v>0</v>
      </c>
      <c r="CC112" s="363">
        <f t="shared" si="88"/>
        <v>1</v>
      </c>
      <c r="CD112" s="363">
        <f t="shared" si="89"/>
        <v>2</v>
      </c>
      <c r="CE112" s="363">
        <f t="shared" si="90"/>
        <v>3</v>
      </c>
      <c r="CF112" s="363">
        <f t="shared" si="91"/>
        <v>3</v>
      </c>
      <c r="CG112" s="363">
        <f t="shared" si="92"/>
        <v>1</v>
      </c>
      <c r="CH112" s="64">
        <f t="shared" si="69"/>
        <v>0.21052631578947367</v>
      </c>
      <c r="CI112" s="65">
        <f t="shared" si="70"/>
        <v>0.31818181818181818</v>
      </c>
      <c r="CJ112" s="65">
        <f t="shared" si="71"/>
        <v>0.21052631578947367</v>
      </c>
      <c r="CK112" s="66">
        <f t="shared" si="77"/>
        <v>0.52870813397129179</v>
      </c>
      <c r="CL112" s="76">
        <f t="shared" si="72"/>
        <v>1.2982685185185154</v>
      </c>
      <c r="CM112" s="76">
        <f t="shared" si="73"/>
        <v>0.9347533333333311</v>
      </c>
      <c r="CN112" s="77">
        <f t="shared" si="74"/>
        <v>1.3159999999999998</v>
      </c>
      <c r="CO112" s="78" t="s">
        <v>5</v>
      </c>
    </row>
    <row r="113" spans="21:93" x14ac:dyDescent="0.3">
      <c r="BK113" s="290">
        <v>32</v>
      </c>
      <c r="BL113" s="189">
        <v>33</v>
      </c>
      <c r="BM113" s="190" t="s">
        <v>72</v>
      </c>
      <c r="BN113" s="363">
        <f t="shared" si="75"/>
        <v>32</v>
      </c>
      <c r="BO113" s="363">
        <f t="shared" si="76"/>
        <v>92</v>
      </c>
      <c r="BP113" s="363">
        <f t="shared" si="93"/>
        <v>68</v>
      </c>
      <c r="BQ113" s="363">
        <f t="shared" si="94"/>
        <v>10</v>
      </c>
      <c r="BR113" s="363">
        <f t="shared" si="95"/>
        <v>10</v>
      </c>
      <c r="BS113" s="363">
        <f t="shared" si="78"/>
        <v>0</v>
      </c>
      <c r="BT113" s="363">
        <f t="shared" si="79"/>
        <v>0</v>
      </c>
      <c r="BU113" s="363">
        <f t="shared" si="80"/>
        <v>0</v>
      </c>
      <c r="BV113" s="363">
        <f t="shared" si="81"/>
        <v>10</v>
      </c>
      <c r="BW113" s="363">
        <f t="shared" si="82"/>
        <v>7</v>
      </c>
      <c r="BX113" s="363">
        <f t="shared" si="83"/>
        <v>17</v>
      </c>
      <c r="BY113" s="363">
        <f t="shared" si="84"/>
        <v>14</v>
      </c>
      <c r="BZ113" s="363">
        <f t="shared" si="85"/>
        <v>1</v>
      </c>
      <c r="CA113" s="363">
        <f t="shared" si="86"/>
        <v>0</v>
      </c>
      <c r="CB113" s="363">
        <f t="shared" si="87"/>
        <v>0</v>
      </c>
      <c r="CC113" s="363">
        <f t="shared" si="88"/>
        <v>18</v>
      </c>
      <c r="CD113" s="363">
        <f t="shared" si="89"/>
        <v>10</v>
      </c>
      <c r="CE113" s="363">
        <f t="shared" si="90"/>
        <v>28</v>
      </c>
      <c r="CF113" s="363">
        <f t="shared" si="91"/>
        <v>30</v>
      </c>
      <c r="CG113" s="363">
        <f t="shared" si="92"/>
        <v>0</v>
      </c>
      <c r="CH113" s="191">
        <f t="shared" si="69"/>
        <v>0.14705882352941177</v>
      </c>
      <c r="CI113" s="192">
        <f t="shared" si="70"/>
        <v>0.39583333333333331</v>
      </c>
      <c r="CJ113" s="192">
        <f t="shared" si="71"/>
        <v>0.14705882352941177</v>
      </c>
      <c r="CK113" s="193">
        <f t="shared" si="77"/>
        <v>0.54289215686274506</v>
      </c>
      <c r="CL113" s="194">
        <f t="shared" si="72"/>
        <v>12.828921296296286</v>
      </c>
      <c r="CM113" s="194">
        <f t="shared" si="73"/>
        <v>2.9230453586497869</v>
      </c>
      <c r="CN113" s="195">
        <f t="shared" si="74"/>
        <v>11.260000000000003</v>
      </c>
      <c r="CO113" s="190" t="s">
        <v>72</v>
      </c>
    </row>
    <row r="114" spans="21:93" s="290" customFormat="1" x14ac:dyDescent="0.3">
      <c r="BK114" s="290">
        <v>33</v>
      </c>
      <c r="BL114" s="61">
        <v>54</v>
      </c>
      <c r="BM114" s="75" t="s">
        <v>499</v>
      </c>
      <c r="BN114" s="18">
        <f t="shared" si="75"/>
        <v>3</v>
      </c>
      <c r="BO114" s="18">
        <f t="shared" si="76"/>
        <v>9</v>
      </c>
      <c r="BP114" s="18">
        <f t="shared" si="93"/>
        <v>3</v>
      </c>
      <c r="BQ114" s="18">
        <f t="shared" si="94"/>
        <v>1</v>
      </c>
      <c r="BR114" s="18">
        <f t="shared" si="95"/>
        <v>1</v>
      </c>
      <c r="BS114" s="18">
        <f t="shared" si="78"/>
        <v>0</v>
      </c>
      <c r="BT114" s="18">
        <f t="shared" si="79"/>
        <v>0</v>
      </c>
      <c r="BU114" s="18">
        <f t="shared" si="80"/>
        <v>0</v>
      </c>
      <c r="BV114" s="18">
        <f t="shared" si="81"/>
        <v>1</v>
      </c>
      <c r="BW114" s="18">
        <f t="shared" si="82"/>
        <v>0</v>
      </c>
      <c r="BX114" s="18">
        <f t="shared" si="83"/>
        <v>6</v>
      </c>
      <c r="BY114" s="18">
        <f t="shared" si="84"/>
        <v>0</v>
      </c>
      <c r="BZ114" s="18">
        <f t="shared" si="85"/>
        <v>0</v>
      </c>
      <c r="CA114" s="18">
        <f t="shared" si="86"/>
        <v>0</v>
      </c>
      <c r="CB114" s="18">
        <f t="shared" si="87"/>
        <v>0</v>
      </c>
      <c r="CC114" s="18">
        <f t="shared" si="88"/>
        <v>3</v>
      </c>
      <c r="CD114" s="18">
        <f t="shared" si="89"/>
        <v>3</v>
      </c>
      <c r="CE114" s="18">
        <f t="shared" si="90"/>
        <v>6</v>
      </c>
      <c r="CF114" s="18">
        <f t="shared" si="91"/>
        <v>2</v>
      </c>
      <c r="CG114" s="18">
        <f t="shared" si="92"/>
        <v>0</v>
      </c>
      <c r="CH114" s="151">
        <f t="shared" si="69"/>
        <v>0.33333333333333331</v>
      </c>
      <c r="CI114" s="150">
        <f t="shared" si="70"/>
        <v>0.77777777777777779</v>
      </c>
      <c r="CJ114" s="150">
        <f t="shared" si="71"/>
        <v>0.33333333333333331</v>
      </c>
      <c r="CK114" s="149">
        <f t="shared" si="77"/>
        <v>1.1111111111111112</v>
      </c>
      <c r="CL114" s="126">
        <f t="shared" si="72"/>
        <v>2.5777777777777784</v>
      </c>
      <c r="CM114" s="126">
        <f t="shared" si="73"/>
        <v>11.600000000000003</v>
      </c>
      <c r="CN114" s="127">
        <f t="shared" si="74"/>
        <v>2.3439999999999999</v>
      </c>
      <c r="CO114" s="75" t="s">
        <v>501</v>
      </c>
    </row>
    <row r="115" spans="21:93" s="104" customFormat="1" ht="17.25" thickBot="1" x14ac:dyDescent="0.35">
      <c r="U115" s="215"/>
      <c r="AV115" s="215"/>
      <c r="BK115" s="290">
        <v>34</v>
      </c>
      <c r="BL115" s="300">
        <v>36</v>
      </c>
      <c r="BM115" s="190" t="s">
        <v>288</v>
      </c>
      <c r="BN115" s="363">
        <f t="shared" si="75"/>
        <v>12</v>
      </c>
      <c r="BO115" s="363">
        <f t="shared" si="76"/>
        <v>41</v>
      </c>
      <c r="BP115" s="363">
        <f t="shared" si="93"/>
        <v>34</v>
      </c>
      <c r="BQ115" s="363">
        <f t="shared" si="94"/>
        <v>15</v>
      </c>
      <c r="BR115" s="363">
        <f t="shared" si="95"/>
        <v>10</v>
      </c>
      <c r="BS115" s="363">
        <f t="shared" si="78"/>
        <v>2</v>
      </c>
      <c r="BT115" s="363">
        <f t="shared" si="79"/>
        <v>3</v>
      </c>
      <c r="BU115" s="363">
        <f t="shared" si="80"/>
        <v>0</v>
      </c>
      <c r="BV115" s="363">
        <f t="shared" si="81"/>
        <v>23</v>
      </c>
      <c r="BW115" s="363">
        <f t="shared" si="82"/>
        <v>9</v>
      </c>
      <c r="BX115" s="363">
        <f t="shared" si="83"/>
        <v>15</v>
      </c>
      <c r="BY115" s="363">
        <f t="shared" si="84"/>
        <v>4</v>
      </c>
      <c r="BZ115" s="363">
        <f t="shared" si="85"/>
        <v>0</v>
      </c>
      <c r="CA115" s="363">
        <f t="shared" si="86"/>
        <v>0</v>
      </c>
      <c r="CB115" s="363">
        <f t="shared" si="87"/>
        <v>0</v>
      </c>
      <c r="CC115" s="363">
        <f t="shared" si="88"/>
        <v>5</v>
      </c>
      <c r="CD115" s="363">
        <f t="shared" si="89"/>
        <v>2</v>
      </c>
      <c r="CE115" s="363">
        <f t="shared" si="90"/>
        <v>7</v>
      </c>
      <c r="CF115" s="363">
        <f t="shared" si="91"/>
        <v>7</v>
      </c>
      <c r="CG115" s="363">
        <f t="shared" si="92"/>
        <v>0</v>
      </c>
      <c r="CH115" s="312">
        <f t="shared" si="69"/>
        <v>0.44117647058823528</v>
      </c>
      <c r="CI115" s="313">
        <f t="shared" si="70"/>
        <v>0.53658536585365857</v>
      </c>
      <c r="CJ115" s="313">
        <f t="shared" si="71"/>
        <v>0.67647058823529416</v>
      </c>
      <c r="CK115" s="288">
        <f>CI115+CJ115</f>
        <v>1.2130559540889527</v>
      </c>
      <c r="CL115" s="314">
        <f t="shared" si="72"/>
        <v>11.057407407407403</v>
      </c>
      <c r="CM115" s="314">
        <f t="shared" si="73"/>
        <v>4.0619047619047599</v>
      </c>
      <c r="CN115" s="315">
        <f t="shared" si="74"/>
        <v>10.894</v>
      </c>
      <c r="CO115" s="246" t="s">
        <v>290</v>
      </c>
    </row>
    <row r="116" spans="21:93" ht="17.25" thickBot="1" x14ac:dyDescent="0.35">
      <c r="BL116" s="3" t="s">
        <v>122</v>
      </c>
      <c r="BM116" s="48"/>
      <c r="BN116" s="275"/>
      <c r="BO116" s="276">
        <f t="shared" ref="BO116:CG116" si="96">SUM(BO82:BO115)</f>
        <v>2354</v>
      </c>
      <c r="BP116" s="276">
        <f t="shared" si="96"/>
        <v>1904</v>
      </c>
      <c r="BQ116" s="276">
        <f t="shared" si="96"/>
        <v>728</v>
      </c>
      <c r="BR116" s="276">
        <f t="shared" si="96"/>
        <v>583</v>
      </c>
      <c r="BS116" s="276">
        <f t="shared" si="96"/>
        <v>120</v>
      </c>
      <c r="BT116" s="276">
        <f t="shared" si="96"/>
        <v>21</v>
      </c>
      <c r="BU116" s="276">
        <f t="shared" si="96"/>
        <v>4</v>
      </c>
      <c r="BV116" s="276">
        <f t="shared" si="96"/>
        <v>902</v>
      </c>
      <c r="BW116" s="276">
        <f t="shared" si="96"/>
        <v>598</v>
      </c>
      <c r="BX116" s="276">
        <f t="shared" si="96"/>
        <v>762</v>
      </c>
      <c r="BY116" s="276">
        <f t="shared" si="96"/>
        <v>474</v>
      </c>
      <c r="BZ116" s="276">
        <f t="shared" si="96"/>
        <v>13</v>
      </c>
      <c r="CA116" s="276">
        <f t="shared" si="96"/>
        <v>0</v>
      </c>
      <c r="CB116" s="276">
        <f t="shared" si="96"/>
        <v>23</v>
      </c>
      <c r="CC116" s="276">
        <f t="shared" si="96"/>
        <v>352</v>
      </c>
      <c r="CD116" s="276">
        <f t="shared" si="96"/>
        <v>77</v>
      </c>
      <c r="CE116" s="276">
        <f t="shared" si="96"/>
        <v>429</v>
      </c>
      <c r="CF116" s="276">
        <f t="shared" si="96"/>
        <v>414</v>
      </c>
      <c r="CG116" s="276">
        <f t="shared" si="96"/>
        <v>17</v>
      </c>
      <c r="CH116" s="23">
        <v>0.41176470588235292</v>
      </c>
      <c r="CI116" s="23">
        <v>0.51710261569416494</v>
      </c>
      <c r="CJ116" s="23">
        <v>0.51063829787234039</v>
      </c>
      <c r="CK116" s="23">
        <v>1.0277409135665052</v>
      </c>
      <c r="CL116" s="276"/>
      <c r="CM116" s="276"/>
      <c r="CN116" s="274"/>
      <c r="CO116" s="48"/>
    </row>
  </sheetData>
  <mergeCells count="15">
    <mergeCell ref="DK1:EL1"/>
    <mergeCell ref="CH1:DH1"/>
    <mergeCell ref="BL79:CM80"/>
    <mergeCell ref="BG41:BH41"/>
    <mergeCell ref="BG42:BH42"/>
    <mergeCell ref="CI43:CJ43"/>
    <mergeCell ref="CK43:CL43"/>
    <mergeCell ref="C1:AB1"/>
    <mergeCell ref="AC1:BB1"/>
    <mergeCell ref="BO40:BT40"/>
    <mergeCell ref="BO41:BT41"/>
    <mergeCell ref="BO42:BT42"/>
    <mergeCell ref="BI41:BJ41"/>
    <mergeCell ref="BI42:BJ42"/>
    <mergeCell ref="BE1:CD1"/>
  </mergeCells>
  <phoneticPr fontId="2" type="noConversion"/>
  <conditionalFormatting sqref="AZ34:BA38 AZ30:BA30 AZ23:BA27 AZ20:BA21 AZ17:BA18 AZ3:BA7 AZ9:BA14">
    <cfRule type="cellIs" dxfId="20" priority="177" operator="greaterThan">
      <formula>0.5</formula>
    </cfRule>
  </conditionalFormatting>
  <conditionalFormatting sqref="BB34:BB38 BB30 BB23:BB27 BB20:BB21 BB17:BB18 BB3:BB7 BB9:BB14">
    <cfRule type="cellIs" dxfId="19" priority="178" operator="greaterThan">
      <formula>1</formula>
    </cfRule>
  </conditionalFormatting>
  <conditionalFormatting sqref="AE3:AE7 AE9:AE14 AE17:AE18 AE23:AE27 AE30 AE34:AE38 AE20:AE21">
    <cfRule type="top10" dxfId="18" priority="529" percent="1" rank="10"/>
  </conditionalFormatting>
  <conditionalFormatting sqref="AF3:AF7 AF9:AF14 AF17:AF18 AF23:AF27 AF30 AF34:AF38 AF20:AF21">
    <cfRule type="top10" dxfId="17" priority="537" percent="1" rank="10"/>
  </conditionalFormatting>
  <conditionalFormatting sqref="AG3:AG7 AG9:AG14 AG17:AG18 AG23:AG27 AG30 AG34:AG38 AG20:AG21">
    <cfRule type="top10" dxfId="16" priority="545" percent="1" rank="10"/>
  </conditionalFormatting>
  <conditionalFormatting sqref="AH3:AH7 AH9:AH14 AH17:AH18 AH23:AH27 AH30 AH34:AH38 AH20:AH21">
    <cfRule type="top10" dxfId="15" priority="553" percent="1" rank="10"/>
  </conditionalFormatting>
  <conditionalFormatting sqref="AI3:AI7 AI9:AI14 AI17:AI18 AI23:AI27 AI30 AI34:AI38 AI20:AI21">
    <cfRule type="top10" dxfId="14" priority="561" percent="1" rank="10"/>
  </conditionalFormatting>
  <conditionalFormatting sqref="AJ3:AJ7 AJ9:AJ14 AJ17:AJ18 AJ23:AJ27 AJ30 AJ34:AJ38 AJ20:AJ21">
    <cfRule type="top10" dxfId="13" priority="569" percent="1" rank="10"/>
  </conditionalFormatting>
  <conditionalFormatting sqref="AK3:AK7 AK9:AK14 AK17:AK18 AK23:AK27 AK30 AK34:AK38 AK20:AK21">
    <cfRule type="top10" dxfId="12" priority="577" percent="1" rank="10"/>
  </conditionalFormatting>
  <conditionalFormatting sqref="AL3:AL7 AL9:AL14 AL17:AL18 AL23:AL27 AL30 AL34:AL38 AL20:AL21">
    <cfRule type="top10" dxfId="11" priority="585" percent="1" rank="10"/>
  </conditionalFormatting>
  <conditionalFormatting sqref="AM3:AM7 AM9:AM14 AM17:AM18 AM23:AM27 AM30 AM34:AM38 AM20:AM21">
    <cfRule type="top10" dxfId="10" priority="593" percent="1" rank="10"/>
  </conditionalFormatting>
  <conditionalFormatting sqref="AN3:AN7 AN9:AN14 AN17:AN18 AN23:AN27 AN30 AN34:AN38 AN20:AN21">
    <cfRule type="top10" dxfId="9" priority="601" percent="1" rank="10"/>
  </conditionalFormatting>
  <conditionalFormatting sqref="AO3:AO7 AO9:AO14 AO17:AO18 AO23:AO27 AO30 AO34:AO38 AO20:AO21">
    <cfRule type="top10" dxfId="8" priority="609" percent="1" rank="10"/>
  </conditionalFormatting>
  <conditionalFormatting sqref="AP3:AP7 AP9:AP14 AP17:AP18 AP23:AP27 AP30 AP34:AP38 AP20:AP21">
    <cfRule type="top10" dxfId="7" priority="617" percent="1" rank="10"/>
  </conditionalFormatting>
  <conditionalFormatting sqref="AQ3:AQ7 AQ9:AQ14 AQ17:AQ18 AQ23:AQ27 AQ30 AQ34:AQ38 AQ20:AQ21">
    <cfRule type="top10" dxfId="6" priority="625" percent="1" rank="10"/>
  </conditionalFormatting>
  <conditionalFormatting sqref="AR3:AR7 AR9:AR14 AR17:AR18 AR23:AR27 AR30 AR34:AR38 AR20:AR21">
    <cfRule type="top10" dxfId="5" priority="633" percent="1" rank="10"/>
  </conditionalFormatting>
  <conditionalFormatting sqref="AS3:AS7 AS9:AS14 AS17:AS18 AS23:AS27 AS30 AS34:AS38 AS20:AS21">
    <cfRule type="top10" dxfId="4" priority="641" percent="1" rank="10"/>
  </conditionalFormatting>
  <conditionalFormatting sqref="AT3:AT7 AT9:AT14 AT17:AT18 AT23:AT27 AT30 AT34:AT38 AT20:AT21">
    <cfRule type="top10" dxfId="3" priority="649" percent="1" rank="10"/>
  </conditionalFormatting>
  <conditionalFormatting sqref="AU9:AV14 AU17:AV18 AU23:AV27 AU30:AV30 AU34:AV38 AU20:AV21 AU3:AV7 AV6:AV35">
    <cfRule type="top10" dxfId="2" priority="657" percent="1" rank="10"/>
  </conditionalFormatting>
  <conditionalFormatting sqref="AW3:AW7 AW9:AW14 AW17:AW18 AW23:AW27 AW30 AW34:AW38 AW20:AW21">
    <cfRule type="top10" dxfId="1" priority="665" percent="1" rank="10"/>
  </conditionalFormatting>
  <conditionalFormatting sqref="AY3:AY7 AY9:AY14 AY17:AY18 AY23:AY27 AY30 AY34:AY38 AY20:AY21">
    <cfRule type="top10" dxfId="0" priority="673" percent="1" rank="10"/>
  </conditionalFormatting>
  <conditionalFormatting sqref="BI10:BI12 BI14 BI17:BI19 BI25:BI27 BI30">
    <cfRule type="dataBar" priority="1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{3D2CA6AE-92C8-47C1-B561-BEB89F4552A1}</x14:id>
        </ext>
      </extLst>
    </cfRule>
  </conditionalFormatting>
  <conditionalFormatting sqref="BJ10:BJ12 BJ14 BJ17:BJ19 BJ25:BJ27 BJ30">
    <cfRule type="dataBar" priority="1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{6184B8F5-4982-4833-AEA5-2BB26239CC5F}</x14:id>
        </ext>
      </extLst>
    </cfRule>
  </conditionalFormatting>
  <conditionalFormatting sqref="BL10:BL12 BL14 BL17:BL19 BL25:BL27 BL30">
    <cfRule type="dataBar" priority="1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{4023908E-BE37-46F2-B104-0CAAF62F9F62}</x14:id>
        </ext>
      </extLst>
    </cfRule>
  </conditionalFormatting>
  <conditionalFormatting sqref="BM10:BM12 BM14 BM17:BM19 BM25:BM27 BM30">
    <cfRule type="dataBar" priority="1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{2BA8A9C5-8F94-4E7B-A7B6-FE63CA69B720}</x14:id>
        </ext>
      </extLst>
    </cfRule>
  </conditionalFormatting>
  <conditionalFormatting sqref="BN10:BN12 BN14 BN17:BN19 BN25:BN27 BN30">
    <cfRule type="dataBar" priority="12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{7101E87A-31B3-4D24-BF62-00B5AEB9BA69}</x14:id>
        </ext>
      </extLst>
    </cfRule>
  </conditionalFormatting>
  <conditionalFormatting sqref="BO10:BO12 BO14 BO17:BO19 BO25:BO27 BO30">
    <cfRule type="dataBar" priority="1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{FFD4EBDB-BA0A-4A76-B81B-ACE5F8A440C0}</x14:id>
        </ext>
      </extLst>
    </cfRule>
  </conditionalFormatting>
  <conditionalFormatting sqref="BQ10:BQ12 BQ14 BQ17:BQ19 BQ25:BQ27 BQ30">
    <cfRule type="dataBar" priority="12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{730AF5C0-8783-496B-AB68-F994860167A4}</x14:id>
        </ext>
      </extLst>
    </cfRule>
  </conditionalFormatting>
  <conditionalFormatting sqref="BR10:BR12 BR14 BR17:BR19 BR25:BR27 BR30">
    <cfRule type="dataBar" priority="1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{AD74D5E6-71F3-453C-AB70-1C669EDB3334}</x14:id>
        </ext>
      </extLst>
    </cfRule>
  </conditionalFormatting>
  <conditionalFormatting sqref="BS10:BS12 BS14 BS17:BS19 BS25:BS27 BS30">
    <cfRule type="dataBar" priority="1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{746C55FA-E47F-4001-92BC-40C5CEB6AB73}</x14:id>
        </ext>
      </extLst>
    </cfRule>
  </conditionalFormatting>
  <conditionalFormatting sqref="BT10:BT12 BT14 BT17:BT19 BT25:BT27 BT30">
    <cfRule type="dataBar" priority="12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{EFA54C44-193C-47D5-B37F-0E529F1A4346}</x14:id>
        </ext>
      </extLst>
    </cfRule>
  </conditionalFormatting>
  <conditionalFormatting sqref="BU10:BU12 BU14 BU17:BU19 BU25:BU27 BU30">
    <cfRule type="dataBar" priority="1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{56368332-BE4C-4279-8AAB-055FDB3A65F6}</x14:id>
        </ext>
      </extLst>
    </cfRule>
  </conditionalFormatting>
  <conditionalFormatting sqref="BV10:BV12 BV14 BV17:BV19 BV25:BV27 BV30">
    <cfRule type="dataBar" priority="12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{7B20A9EB-B091-4A57-94D9-357C416D35AF}</x14:id>
        </ext>
      </extLst>
    </cfRule>
  </conditionalFormatting>
  <conditionalFormatting sqref="BW10:BW12 BW14 BW17:BW19 BW25:BW27 BW30">
    <cfRule type="dataBar" priority="1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{BE91F9FE-CD07-4533-AAA4-E24ED829905E}</x14:id>
        </ext>
      </extLst>
    </cfRule>
  </conditionalFormatting>
  <conditionalFormatting sqref="BX10:BX12 BX14 BX17:BX19 BX25:BX27 BX30">
    <cfRule type="dataBar" priority="12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{5C1BFD20-81DF-4005-92E7-4F58737585E2}</x14:id>
        </ext>
      </extLst>
    </cfRule>
  </conditionalFormatting>
  <conditionalFormatting sqref="BZ9:BZ12 BZ14 BZ17:BZ19 BZ25:BZ27 BZ30">
    <cfRule type="dataBar" priority="1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{3E3CD32A-EEB3-471F-96FE-3961DEFE52C1}</x14:id>
        </ext>
      </extLst>
    </cfRule>
  </conditionalFormatting>
  <conditionalFormatting sqref="CA10:CA12 CA14 CA17:CA19 CA25:CA27 CA30">
    <cfRule type="dataBar" priority="1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{A3DC3DDE-60BE-43F7-9B56-0EF1ABB09771}</x14:id>
        </ext>
      </extLst>
    </cfRule>
  </conditionalFormatting>
  <conditionalFormatting sqref="BH10:BH12 BH14 BH17:BH19 BH25:BH27 BH30">
    <cfRule type="dataBar" priority="12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{ECAD9FFD-1747-4987-A630-091D01812BBF}</x14:id>
        </ext>
      </extLst>
    </cfRule>
  </conditionalFormatting>
  <conditionalFormatting sqref="BH9:BH12 BH14 BH17:BH19 BH25:BH27 BH30 BH5:BH6">
    <cfRule type="dataBar" priority="1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{52DE107B-FCB0-4E01-9681-90A9035C9E81}</x14:id>
        </ext>
      </extLst>
    </cfRule>
  </conditionalFormatting>
  <conditionalFormatting sqref="BN9:BN12 BN14 BN17:BN19 BN25:BN27 BN30 BN5:BN6">
    <cfRule type="dataBar" priority="1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{D4E12AD1-4FBF-4190-9A33-BC101EF6724E}</x14:id>
        </ext>
      </extLst>
    </cfRule>
  </conditionalFormatting>
  <conditionalFormatting sqref="BI9:BI12 BI14 BI17:BI19 BI25:BI27 BI30 BI5:BI6">
    <cfRule type="dataBar" priority="13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{9CED8640-11DE-40BB-B845-CE5AA7E83847}</x14:id>
        </ext>
      </extLst>
    </cfRule>
  </conditionalFormatting>
  <conditionalFormatting sqref="BJ9:BJ12 BJ14 BJ17:BJ19 BJ25:BJ27 BJ30 BJ5:BJ6">
    <cfRule type="dataBar" priority="13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{81695317-B0E4-4165-AB6F-7386BE174121}</x14:id>
        </ext>
      </extLst>
    </cfRule>
  </conditionalFormatting>
  <conditionalFormatting sqref="BL9:BL12 BL14 BL17:BL19 BL25:BL27 BL30 BL5:BL6">
    <cfRule type="dataBar" priority="13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{D0A793E9-0497-4277-B994-F362C95B098C}</x14:id>
        </ext>
      </extLst>
    </cfRule>
  </conditionalFormatting>
  <conditionalFormatting sqref="BM9:BM12 BM14 BM17:BM19 BM25:BM27 BM30 BM5:BM6">
    <cfRule type="dataBar" priority="13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{DA03D74E-5D07-44D0-ABF3-B39B3DE0B8A9}</x14:id>
        </ext>
      </extLst>
    </cfRule>
  </conditionalFormatting>
  <conditionalFormatting sqref="BO9:BO12 BO14 BO17:BO19 BO25:BO27 BO30 BO5:BO6">
    <cfRule type="dataBar" priority="13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{98C94365-F8FE-4FC5-95C7-10004DAD81C3}</x14:id>
        </ext>
      </extLst>
    </cfRule>
  </conditionalFormatting>
  <conditionalFormatting sqref="BQ9:BQ12 BQ14 BQ17:BQ19 BQ25:BQ27 BQ30 BQ5:BQ6">
    <cfRule type="dataBar" priority="13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{B87D497F-7D0A-4596-810D-AC5996A11075}</x14:id>
        </ext>
      </extLst>
    </cfRule>
  </conditionalFormatting>
  <conditionalFormatting sqref="BR9:BR12 BR14 BR17:BR19 BR25:BR27 BR30 BR5:BR6">
    <cfRule type="dataBar" priority="1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{9BF4E96A-0160-4B6C-834A-93A7CF2152CB}</x14:id>
        </ext>
      </extLst>
    </cfRule>
  </conditionalFormatting>
  <conditionalFormatting sqref="BS9:BS12 BS14 BS17:BS19 BS25:BS27 BS30 BS5:BS6">
    <cfRule type="dataBar" priority="13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{2BB89983-9D27-4006-9135-612A5C137A99}</x14:id>
        </ext>
      </extLst>
    </cfRule>
  </conditionalFormatting>
  <conditionalFormatting sqref="BT9:BT12 BT14 BT17:BT19 BT25:BT27 BT30 BT5:BT6">
    <cfRule type="dataBar" priority="1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{B8AC69ED-E767-4A06-A3A5-2FED5AEBB7EA}</x14:id>
        </ext>
      </extLst>
    </cfRule>
  </conditionalFormatting>
  <conditionalFormatting sqref="BW9:BW12 BW14 BW17:BW19 BW25:BW27 BW30 BW5:BW6">
    <cfRule type="dataBar" priority="13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{E62A235A-908D-42E0-AD64-54AAF354AF84}</x14:id>
        </ext>
      </extLst>
    </cfRule>
  </conditionalFormatting>
  <conditionalFormatting sqref="BX9:BX12 BX14 BX17:BX19 BX25:BX27 BX30 BX5:BX6">
    <cfRule type="dataBar" priority="13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{A3762793-429F-4775-883F-B4E13021A958}</x14:id>
        </ext>
      </extLst>
    </cfRule>
  </conditionalFormatting>
  <conditionalFormatting sqref="BZ9:BZ12 BZ14 BZ17:BZ19 BZ25:BZ27 BZ30 BZ5:BZ6">
    <cfRule type="dataBar" priority="13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{2F347035-A22A-4D9F-A9B7-CF292161DA7F}</x14:id>
        </ext>
      </extLst>
    </cfRule>
  </conditionalFormatting>
  <conditionalFormatting sqref="CB9:CB12 CB14 CB25:CB27 CB3:CB6 CB16:CB19 CB30:CB38">
    <cfRule type="dataBar" priority="13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{F4D14169-5528-404A-9574-50AF0EDB5AE3}</x14:id>
        </ext>
      </extLst>
    </cfRule>
  </conditionalFormatting>
  <conditionalFormatting sqref="CC9:CC12 CC14 CC25:CC27 CC16:CC19 CC3:CC6 CC30:CC38">
    <cfRule type="dataBar" priority="13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{6DF56C0F-8BA0-4581-ABA8-7A90409EAA35}</x14:id>
        </ext>
      </extLst>
    </cfRule>
  </conditionalFormatting>
  <conditionalFormatting sqref="CD9:CD12 CD14 CD25:CD27 CD30 CD16:CD19 CD3:CD6 CD34:CD38">
    <cfRule type="dataBar" priority="1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{6CBB3273-6626-4CE9-8EB5-FD5B1985D575}</x14:id>
        </ext>
      </extLst>
    </cfRule>
  </conditionalFormatting>
  <conditionalFormatting sqref="CE9:CE12 CE14 CE25:CE27 CE30 CE16:CE19 CE3:CE6 CE34:CE38">
    <cfRule type="dataBar" priority="14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{B659E85D-F204-42A9-B1C6-5D929ED69413}</x14:id>
        </ext>
      </extLst>
    </cfRule>
  </conditionalFormatting>
  <conditionalFormatting sqref="BH3:BH38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{1903A1C9-A56E-4CBE-AEAF-0F4BDFD09E84}</x14:id>
        </ext>
      </extLst>
    </cfRule>
  </conditionalFormatting>
  <conditionalFormatting sqref="BI3:BI38"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{2E899BB4-1FC8-4D12-A919-B273C0EF76CF}</x14:id>
        </ext>
      </extLst>
    </cfRule>
  </conditionalFormatting>
  <conditionalFormatting sqref="BJ3:BJ38"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{D4909D1F-E93F-44B1-9CAF-44FEF6BED671}</x14:id>
        </ext>
      </extLst>
    </cfRule>
  </conditionalFormatting>
  <conditionalFormatting sqref="BK3:BK38">
    <cfRule type="dataBar" priority="1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{9058A31B-9058-458A-9D14-05B3981025E5}</x14:id>
        </ext>
      </extLst>
    </cfRule>
  </conditionalFormatting>
  <conditionalFormatting sqref="BL3:BL38">
    <cfRule type="dataBar" priority="1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{301B854E-6828-4AD7-8308-04E2D2D24973}</x14:id>
        </ext>
      </extLst>
    </cfRule>
  </conditionalFormatting>
  <conditionalFormatting sqref="BM3:BM38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{176A0512-0418-4773-872F-774DF4A19093}</x14:id>
        </ext>
      </extLst>
    </cfRule>
  </conditionalFormatting>
  <conditionalFormatting sqref="BN3:BN38"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{0C50FC33-9619-412F-B841-B0E673962639}</x14:id>
        </ext>
      </extLst>
    </cfRule>
  </conditionalFormatting>
  <conditionalFormatting sqref="BP3:BP38">
    <cfRule type="dataBar" priority="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{F8A3EADC-CE7E-4F2A-B5FA-23FCE101DF65}</x14:id>
        </ext>
      </extLst>
    </cfRule>
  </conditionalFormatting>
  <conditionalFormatting sqref="BQ3:BQ38">
    <cfRule type="dataBar" priority="1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{65EE284A-7BC1-47B3-A656-C2783F557784}</x14:id>
        </ext>
      </extLst>
    </cfRule>
  </conditionalFormatting>
  <conditionalFormatting sqref="BR3:BR38">
    <cfRule type="dataBar" priority="1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{95F1A2BB-CA5E-47A1-A124-9E2EF5203232}</x14:id>
        </ext>
      </extLst>
    </cfRule>
  </conditionalFormatting>
  <conditionalFormatting sqref="BS3:BS38">
    <cfRule type="dataBar" priority="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{E658BCFE-19DE-4EAF-B7CA-66FC8E615519}</x14:id>
        </ext>
      </extLst>
    </cfRule>
  </conditionalFormatting>
  <conditionalFormatting sqref="BT3:BT38">
    <cfRule type="dataBar" priority="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{0F276CFF-E7DB-46B8-87C1-CAD0E38D2D2A}</x14:id>
        </ext>
      </extLst>
    </cfRule>
  </conditionalFormatting>
  <conditionalFormatting sqref="BZ3:BZ38">
    <cfRule type="dataBar" priority="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{4209CA23-472C-44D4-8004-783D6CB30E25}</x14:id>
        </ext>
      </extLst>
    </cfRule>
  </conditionalFormatting>
  <conditionalFormatting sqref="BW3:BW38">
    <cfRule type="dataBar" priority="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{38FD34A7-C2D6-4D1C-8ED6-5C4139091390}</x14:id>
        </ext>
      </extLst>
    </cfRule>
  </conditionalFormatting>
  <conditionalFormatting sqref="BV3:BV38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{FC172EF4-554F-475F-8FB3-1D3634B0EE37}</x14:id>
        </ext>
      </extLst>
    </cfRule>
  </conditionalFormatting>
  <conditionalFormatting sqref="BX3:BX38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{5AB85252-8263-4521-B7B4-89426FB854FD}</x14:id>
        </ext>
      </extLst>
    </cfRule>
  </conditionalFormatting>
  <conditionalFormatting sqref="D4:D38"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{AE6EAFFC-0A04-4FE2-A33B-581303E63F06}</x14:id>
        </ext>
      </extLst>
    </cfRule>
  </conditionalFormatting>
  <conditionalFormatting sqref="E4:E38">
    <cfRule type="dataBar" priority="1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{594A79DD-26F0-49C4-96F9-75C2AC67E992}</x14:id>
        </ext>
      </extLst>
    </cfRule>
  </conditionalFormatting>
  <conditionalFormatting sqref="F4:F38">
    <cfRule type="dataBar" priority="1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{415624C1-7ACC-4FA1-BF4B-F2E9653C35A3}</x14:id>
        </ext>
      </extLst>
    </cfRule>
  </conditionalFormatting>
  <conditionalFormatting sqref="G4:G38">
    <cfRule type="dataBar" priority="1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{CB1D0186-8151-427F-B794-E8C520258DA5}</x14:id>
        </ext>
      </extLst>
    </cfRule>
  </conditionalFormatting>
  <conditionalFormatting sqref="H4:H38">
    <cfRule type="dataBar" priority="1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{90DA15EE-9966-4110-B082-0BC987D2706F}</x14:id>
        </ext>
      </extLst>
    </cfRule>
  </conditionalFormatting>
  <conditionalFormatting sqref="I4:I38">
    <cfRule type="dataBar" priority="1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{B8E76EE7-A4D0-4C1D-96A7-CD6C2A6DF3E7}</x14:id>
        </ext>
      </extLst>
    </cfRule>
  </conditionalFormatting>
  <conditionalFormatting sqref="J4:J38">
    <cfRule type="dataBar" priority="1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{21CB0763-AD43-4701-A70D-491B69E3EA90}</x14:id>
        </ext>
      </extLst>
    </cfRule>
  </conditionalFormatting>
  <conditionalFormatting sqref="K4:K38">
    <cfRule type="dataBar" priority="1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{D94B8C33-2999-48D1-88F5-6FF531176978}</x14:id>
        </ext>
      </extLst>
    </cfRule>
  </conditionalFormatting>
  <conditionalFormatting sqref="L4:L38">
    <cfRule type="dataBar" priority="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{089A15C1-8186-42F1-AC8F-22A331E2D371}</x14:id>
        </ext>
      </extLst>
    </cfRule>
  </conditionalFormatting>
  <conditionalFormatting sqref="M4:M38">
    <cfRule type="dataBar" priority="1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{FBE3E86E-4C46-4111-8A13-6FCE53EE7435}</x14:id>
        </ext>
      </extLst>
    </cfRule>
  </conditionalFormatting>
  <conditionalFormatting sqref="N4:N38">
    <cfRule type="dataBar" priority="1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{14B40629-8D50-4793-B3FB-AE75CCDD045C}</x14:id>
        </ext>
      </extLst>
    </cfRule>
  </conditionalFormatting>
  <conditionalFormatting sqref="O4:O38">
    <cfRule type="dataBar" priority="1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{591CBFB8-BBB7-4967-85F2-63FEFB8D6801}</x14:id>
        </ext>
      </extLst>
    </cfRule>
  </conditionalFormatting>
  <conditionalFormatting sqref="P4:P38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{C2A78BEC-00F1-4A0B-AC23-0857ED0745F1}</x14:id>
        </ext>
      </extLst>
    </cfRule>
  </conditionalFormatting>
  <conditionalFormatting sqref="Q4:Q38">
    <cfRule type="dataBar" priority="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{CB78A501-A0B4-410D-A4A2-F0CE2FE0E0D8}</x14:id>
        </ext>
      </extLst>
    </cfRule>
  </conditionalFormatting>
  <conditionalFormatting sqref="R4:R38"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{88C577A1-910B-4718-BC6F-7D6EBCAF9A46}</x14:id>
        </ext>
      </extLst>
    </cfRule>
  </conditionalFormatting>
  <conditionalFormatting sqref="S4:S38">
    <cfRule type="dataBar" priority="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{5B14D700-C287-4EDD-9817-64FF99B7A45C}</x14:id>
        </ext>
      </extLst>
    </cfRule>
  </conditionalFormatting>
  <conditionalFormatting sqref="T4:T38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{287C3B8E-435D-4609-968A-1E81B6FDE730}</x14:id>
        </ext>
      </extLst>
    </cfRule>
  </conditionalFormatting>
  <conditionalFormatting sqref="V4:V38">
    <cfRule type="dataBar" priority="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{BD468138-CB60-48BD-8046-F32A8570F08A}</x14:id>
        </ext>
      </extLst>
    </cfRule>
  </conditionalFormatting>
  <conditionalFormatting sqref="W4:W38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{DA6AA146-F5B5-4A0E-BB22-1272FCBD0502}</x14:id>
        </ext>
      </extLst>
    </cfRule>
  </conditionalFormatting>
  <conditionalFormatting sqref="X4:X38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{1BDF2A26-447A-47EC-B508-4D0BA82EE37E}</x14:id>
        </ext>
      </extLst>
    </cfRule>
  </conditionalFormatting>
  <conditionalFormatting sqref="Y4:Y38"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{F33C0A76-0FF1-49C0-ACAC-4243183E914E}</x14:id>
        </ext>
      </extLst>
    </cfRule>
  </conditionalFormatting>
  <conditionalFormatting sqref="Z4:Z38">
    <cfRule type="dataBar" priority="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{98B5273A-6CD0-4D7A-B309-79324E0E046D}</x14:id>
        </ext>
      </extLst>
    </cfRule>
  </conditionalFormatting>
  <conditionalFormatting sqref="AA4:AA38">
    <cfRule type="dataBar" priority="1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{897A521C-CD33-48B6-A9FC-BC0E40D440BD}</x14:id>
        </ext>
      </extLst>
    </cfRule>
  </conditionalFormatting>
  <conditionalFormatting sqref="AE3:AE38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{034A175E-C143-48D6-BBDD-774A7C087255}</x14:id>
        </ext>
      </extLst>
    </cfRule>
  </conditionalFormatting>
  <conditionalFormatting sqref="AF3:AF38">
    <cfRule type="dataBar" priority="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{EBFBE931-CE55-4121-8783-72AE590EE39C}</x14:id>
        </ext>
      </extLst>
    </cfRule>
  </conditionalFormatting>
  <conditionalFormatting sqref="AG3:AG38">
    <cfRule type="dataBar" priority="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{622A889A-098E-42DF-8C71-D358B48F38E7}</x14:id>
        </ext>
      </extLst>
    </cfRule>
  </conditionalFormatting>
  <conditionalFormatting sqref="AH3:AH38">
    <cfRule type="dataBar" priority="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{F774BC08-2850-4811-94AB-05BCB8E3EB0E}</x14:id>
        </ext>
      </extLst>
    </cfRule>
  </conditionalFormatting>
  <conditionalFormatting sqref="AI3:AI38"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{1F2356BB-BCC7-4A7A-B156-7A8DF099A59A}</x14:id>
        </ext>
      </extLst>
    </cfRule>
  </conditionalFormatting>
  <conditionalFormatting sqref="AJ3:AJ38">
    <cfRule type="dataBar" priority="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{C096B68E-3402-4903-8DAB-2A5267AE9419}</x14:id>
        </ext>
      </extLst>
    </cfRule>
  </conditionalFormatting>
  <conditionalFormatting sqref="AK3:AK38">
    <cfRule type="dataBar" priority="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{49F6B106-86A6-4124-B6ED-8C672B839DB6}</x14:id>
        </ext>
      </extLst>
    </cfRule>
  </conditionalFormatting>
  <conditionalFormatting sqref="AL3:AL38">
    <cfRule type="dataBar" priority="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{4C8D5934-BFFB-4BA2-8CC0-CF444819A57E}</x14:id>
        </ext>
      </extLst>
    </cfRule>
  </conditionalFormatting>
  <conditionalFormatting sqref="AM3:AM38">
    <cfRule type="dataBar" priority="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{34F41845-AFDA-463D-8BFD-650B6A6F96C3}</x14:id>
        </ext>
      </extLst>
    </cfRule>
  </conditionalFormatting>
  <conditionalFormatting sqref="AN3:AN38">
    <cfRule type="dataBar" priority="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{0390C200-CF5C-4EB0-920C-5345F63EA67C}</x14:id>
        </ext>
      </extLst>
    </cfRule>
  </conditionalFormatting>
  <conditionalFormatting sqref="AO3:AO38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{41447D7C-2326-4230-AFC2-4B45F70E73D9}</x14:id>
        </ext>
      </extLst>
    </cfRule>
  </conditionalFormatting>
  <conditionalFormatting sqref="AP3:AP38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{5FB989F7-DE9C-49CB-8EA0-305D6089CD7E}</x14:id>
        </ext>
      </extLst>
    </cfRule>
  </conditionalFormatting>
  <conditionalFormatting sqref="AQ3:AQ38"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{4D46E521-8B92-44AE-ADC4-CC41F0FAECA2}</x14:id>
        </ext>
      </extLst>
    </cfRule>
  </conditionalFormatting>
  <conditionalFormatting sqref="AR3:AR38">
    <cfRule type="dataBar" priority="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{4A02A709-3E91-4F7E-A4EE-70DD685D6EE6}</x14:id>
        </ext>
      </extLst>
    </cfRule>
  </conditionalFormatting>
  <conditionalFormatting sqref="AS3:AS38">
    <cfRule type="dataBar" priority="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{BC43470E-B394-40AD-A3DA-445045E55306}</x14:id>
        </ext>
      </extLst>
    </cfRule>
  </conditionalFormatting>
  <conditionalFormatting sqref="AT3:AT38"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{163CCDD0-9E3F-4FB5-A5C3-6B9DD3CF3AC4}</x14:id>
        </ext>
      </extLst>
    </cfRule>
  </conditionalFormatting>
  <conditionalFormatting sqref="AU3:AV38">
    <cfRule type="dataBar" priority="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{3D4850BA-0CCA-46E3-8B30-4EEE10DCDEFD}</x14:id>
        </ext>
      </extLst>
    </cfRule>
  </conditionalFormatting>
  <conditionalFormatting sqref="AW3:AW38">
    <cfRule type="dataBar" priority="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{9BE37712-F63D-499D-B7B7-8B515F7104C0}</x14:id>
        </ext>
      </extLst>
    </cfRule>
  </conditionalFormatting>
  <conditionalFormatting sqref="AX3:AX38"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{94F4570E-69F8-4585-8A95-63BEA6B737A8}</x14:id>
        </ext>
      </extLst>
    </cfRule>
  </conditionalFormatting>
  <conditionalFormatting sqref="AY3:AY38">
    <cfRule type="dataBar" priority="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{D600039E-FAE2-476D-877C-24D0084B0387}</x14:id>
        </ext>
      </extLst>
    </cfRule>
  </conditionalFormatting>
  <conditionalFormatting sqref="AZ3:AZ38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{E7971674-3B0B-413B-A5E0-111400D49DBA}</x14:id>
        </ext>
      </extLst>
    </cfRule>
  </conditionalFormatting>
  <conditionalFormatting sqref="BA3:BA38"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{BB55BADE-929A-4E34-802B-0AD2C602702C}</x14:id>
        </ext>
      </extLst>
    </cfRule>
  </conditionalFormatting>
  <conditionalFormatting sqref="BB3:BB38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{4384CE07-B840-4E91-9E8E-5B81E571E68C}</x14:id>
        </ext>
      </extLst>
    </cfRule>
  </conditionalFormatting>
  <conditionalFormatting sqref="BI5:BJ6 BL5:BO6 BQ5:BX6 BZ5:CA6 BQ9:BX12 BZ9:CA12 BQ14:BX14 BZ14:CA14 BQ17:BX19 BZ17:CA19 BQ25:BX27 BZ25:CA27 BQ30:BX30 BZ30:CA30 BL9:BO12 BL14:BO14 BL17:BO19 BL25:BO27 BL30:BO30 BI9:BJ12 BI14:BJ14 BI17:BJ19 BI25:BJ27 BI30:BJ30">
    <cfRule type="dataBar" priority="14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{955AC160-B382-4694-A984-FC7EE10B004D}</x14:id>
        </ext>
      </extLst>
    </cfRule>
  </conditionalFormatting>
  <conditionalFormatting sqref="BY3:BY38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{A130D051-55B8-4DB7-820C-97A5962BB336}</x14:id>
        </ext>
      </extLst>
    </cfRule>
  </conditionalFormatting>
  <conditionalFormatting sqref="U5:U35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{6AB4FB06-EEBC-47F5-A3E0-1981F1BE67C5}</x14:id>
        </ext>
      </extLst>
    </cfRule>
  </conditionalFormatting>
  <conditionalFormatting sqref="CK3:CK3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{14FA7E8D-577B-4672-A566-F9DCD21FE8FE}</x14:id>
        </ext>
      </extLst>
    </cfRule>
  </conditionalFormatting>
  <conditionalFormatting sqref="CL3:CL3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{814509CB-C1C7-41D2-B678-9B4ACC6461D3}</x14:id>
        </ext>
      </extLst>
    </cfRule>
  </conditionalFormatting>
  <conditionalFormatting sqref="CM3:CM3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{AEDCF6D6-AE58-45DB-8DF9-447F3ADC07D0}</x14:id>
        </ext>
      </extLst>
    </cfRule>
  </conditionalFormatting>
  <conditionalFormatting sqref="CN3:CN38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{7BC8F6BA-2DA4-4C66-99A5-2BE808BD990F}</x14:id>
        </ext>
      </extLst>
    </cfRule>
  </conditionalFormatting>
  <conditionalFormatting sqref="CO3:CO38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{F318D5E3-10DD-4527-8B64-1A3DA0AF5D22}</x14:id>
        </ext>
      </extLst>
    </cfRule>
  </conditionalFormatting>
  <conditionalFormatting sqref="CP3:CP38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{4A2CA9BE-CEA4-406E-A054-DF1292DAF852}</x14:id>
        </ext>
      </extLst>
    </cfRule>
  </conditionalFormatting>
  <conditionalFormatting sqref="CQ3:CQ38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{BB97B55A-B289-49A6-89AF-1C8CA05D325F}</x14:id>
        </ext>
      </extLst>
    </cfRule>
  </conditionalFormatting>
  <conditionalFormatting sqref="CR3:CR38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{6177B325-1155-44A2-AF44-5485D8FEE501}</x14:id>
        </ext>
      </extLst>
    </cfRule>
  </conditionalFormatting>
  <conditionalFormatting sqref="CS3:CS38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{70E377DF-EB41-4E7C-9AEE-BC5D4C93BB01}</x14:id>
        </ext>
      </extLst>
    </cfRule>
  </conditionalFormatting>
  <conditionalFormatting sqref="CT3:CT3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{EE5DF099-1DCE-4EBC-B374-04960BB902E6}</x14:id>
        </ext>
      </extLst>
    </cfRule>
  </conditionalFormatting>
  <conditionalFormatting sqref="CU3:DD3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{76C22338-A968-42E5-9C14-D049578C1B39}</x14:id>
        </ext>
      </extLst>
    </cfRule>
  </conditionalFormatting>
  <conditionalFormatting sqref="DN3:DN38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{B074BA36-6C82-4C78-B9C0-2FB538AF0229}</x14:id>
        </ext>
      </extLst>
    </cfRule>
  </conditionalFormatting>
  <conditionalFormatting sqref="DO3:DO38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{44A5C334-EC4C-4368-ABFE-4154B8F960DD}</x14:id>
        </ext>
      </extLst>
    </cfRule>
  </conditionalFormatting>
  <conditionalFormatting sqref="DP3:DP38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{07485430-7D1B-462D-A427-A84C81938657}</x14:id>
        </ext>
      </extLst>
    </cfRule>
  </conditionalFormatting>
  <conditionalFormatting sqref="DQ3:DQ38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{1B84B93A-F6D9-4735-B775-948F2D5AF330}</x14:id>
        </ext>
      </extLst>
    </cfRule>
  </conditionalFormatting>
  <conditionalFormatting sqref="DR3:DR38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{FBF2A068-AE71-432C-B380-E639071D31B1}</x14:id>
        </ext>
      </extLst>
    </cfRule>
  </conditionalFormatting>
  <conditionalFormatting sqref="DS3:DS38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{0D25DF37-426E-4315-8645-7FE0AB8258EA}</x14:id>
        </ext>
      </extLst>
    </cfRule>
  </conditionalFormatting>
  <conditionalFormatting sqref="DT3:DT38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{594BDEEC-BE67-47D3-B325-66FF20FE0641}</x14:id>
        </ext>
      </extLst>
    </cfRule>
  </conditionalFormatting>
  <conditionalFormatting sqref="DU3:DU3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{AC4D7B03-E28B-4822-8B52-877AE7B096D7}</x14:id>
        </ext>
      </extLst>
    </cfRule>
  </conditionalFormatting>
  <conditionalFormatting sqref="DV3:DV3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{0E0C2999-1FC2-4722-8D5D-D801B8ADF19C}</x14:id>
        </ext>
      </extLst>
    </cfRule>
  </conditionalFormatting>
  <conditionalFormatting sqref="DW3:DW3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{258532E3-C60F-49EB-BAC2-5D7B6F73E01C}</x14:id>
        </ext>
      </extLst>
    </cfRule>
  </conditionalFormatting>
  <conditionalFormatting sqref="DX3:EG3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{3B159E6E-F9CA-422F-A2BC-4C5ED0BF08E0}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2CA6AE-92C8-47C1-B561-BEB89F4552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BI10:BI12 BI14 BI17:BI19 BI25:BI27 BI30</xm:sqref>
        </x14:conditionalFormatting>
        <x14:conditionalFormatting xmlns:xm="http://schemas.microsoft.com/office/excel/2006/main">
          <x14:cfRule type="dataBar" id="{6184B8F5-4982-4833-AEA5-2BB26239CC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BJ10:BJ12 BJ14 BJ17:BJ19 BJ25:BJ27 BJ30</xm:sqref>
        </x14:conditionalFormatting>
        <x14:conditionalFormatting xmlns:xm="http://schemas.microsoft.com/office/excel/2006/main">
          <x14:cfRule type="dataBar" id="{4023908E-BE37-46F2-B104-0CAAF62F9F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BL10:BL12 BL14 BL17:BL19 BL25:BL27 BL30</xm:sqref>
        </x14:conditionalFormatting>
        <x14:conditionalFormatting xmlns:xm="http://schemas.microsoft.com/office/excel/2006/main">
          <x14:cfRule type="dataBar" id="{2BA8A9C5-8F94-4E7B-A7B6-FE63CA69B7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BM10:BM12 BM14 BM17:BM19 BM25:BM27 BM30</xm:sqref>
        </x14:conditionalFormatting>
        <x14:conditionalFormatting xmlns:xm="http://schemas.microsoft.com/office/excel/2006/main">
          <x14:cfRule type="dataBar" id="{7101E87A-31B3-4D24-BF62-00B5AEB9BA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BN10:BN12 BN14 BN17:BN19 BN25:BN27 BN30</xm:sqref>
        </x14:conditionalFormatting>
        <x14:conditionalFormatting xmlns:xm="http://schemas.microsoft.com/office/excel/2006/main">
          <x14:cfRule type="dataBar" id="{FFD4EBDB-BA0A-4A76-B81B-ACE5F8A440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BO10:BO12 BO14 BO17:BO19 BO25:BO27 BO30</xm:sqref>
        </x14:conditionalFormatting>
        <x14:conditionalFormatting xmlns:xm="http://schemas.microsoft.com/office/excel/2006/main">
          <x14:cfRule type="dataBar" id="{730AF5C0-8783-496B-AB68-F994860167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BQ10:BQ12 BQ14 BQ17:BQ19 BQ25:BQ27 BQ30</xm:sqref>
        </x14:conditionalFormatting>
        <x14:conditionalFormatting xmlns:xm="http://schemas.microsoft.com/office/excel/2006/main">
          <x14:cfRule type="dataBar" id="{AD74D5E6-71F3-453C-AB70-1C669EDB33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BR10:BR12 BR14 BR17:BR19 BR25:BR27 BR30</xm:sqref>
        </x14:conditionalFormatting>
        <x14:conditionalFormatting xmlns:xm="http://schemas.microsoft.com/office/excel/2006/main">
          <x14:cfRule type="dataBar" id="{746C55FA-E47F-4001-92BC-40C5CEB6AB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BS10:BS12 BS14 BS17:BS19 BS25:BS27 BS30</xm:sqref>
        </x14:conditionalFormatting>
        <x14:conditionalFormatting xmlns:xm="http://schemas.microsoft.com/office/excel/2006/main">
          <x14:cfRule type="dataBar" id="{EFA54C44-193C-47D5-B37F-0E529F1A43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BT10:BT12 BT14 BT17:BT19 BT25:BT27 BT30</xm:sqref>
        </x14:conditionalFormatting>
        <x14:conditionalFormatting xmlns:xm="http://schemas.microsoft.com/office/excel/2006/main">
          <x14:cfRule type="dataBar" id="{56368332-BE4C-4279-8AAB-055FDB3A65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BU10:BU12 BU14 BU17:BU19 BU25:BU27 BU30</xm:sqref>
        </x14:conditionalFormatting>
        <x14:conditionalFormatting xmlns:xm="http://schemas.microsoft.com/office/excel/2006/main">
          <x14:cfRule type="dataBar" id="{7B20A9EB-B091-4A57-94D9-357C416D35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BV10:BV12 BV14 BV17:BV19 BV25:BV27 BV30</xm:sqref>
        </x14:conditionalFormatting>
        <x14:conditionalFormatting xmlns:xm="http://schemas.microsoft.com/office/excel/2006/main">
          <x14:cfRule type="dataBar" id="{BE91F9FE-CD07-4533-AAA4-E24ED82990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BW10:BW12 BW14 BW17:BW19 BW25:BW27 BW30</xm:sqref>
        </x14:conditionalFormatting>
        <x14:conditionalFormatting xmlns:xm="http://schemas.microsoft.com/office/excel/2006/main">
          <x14:cfRule type="dataBar" id="{5C1BFD20-81DF-4005-92E7-4F58737585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BX10:BX12 BX14 BX17:BX19 BX25:BX27 BX30</xm:sqref>
        </x14:conditionalFormatting>
        <x14:conditionalFormatting xmlns:xm="http://schemas.microsoft.com/office/excel/2006/main">
          <x14:cfRule type="dataBar" id="{3E3CD32A-EEB3-471F-96FE-3961DEFE52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BZ9:BZ12 BZ14 BZ17:BZ19 BZ25:BZ27 BZ30</xm:sqref>
        </x14:conditionalFormatting>
        <x14:conditionalFormatting xmlns:xm="http://schemas.microsoft.com/office/excel/2006/main">
          <x14:cfRule type="dataBar" id="{A3DC3DDE-60BE-43F7-9B56-0EF1ABB097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CA10:CA12 CA14 CA17:CA19 CA25:CA27 CA30</xm:sqref>
        </x14:conditionalFormatting>
        <x14:conditionalFormatting xmlns:xm="http://schemas.microsoft.com/office/excel/2006/main">
          <x14:cfRule type="dataBar" id="{ECAD9FFD-1747-4987-A630-091D01812B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BH10:BH12 BH14 BH17:BH19 BH25:BH27 BH30</xm:sqref>
        </x14:conditionalFormatting>
        <x14:conditionalFormatting xmlns:xm="http://schemas.microsoft.com/office/excel/2006/main">
          <x14:cfRule type="dataBar" id="{52DE107B-FCB0-4E01-9681-90A9035C9E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BH9:BH12 BH14 BH17:BH19 BH25:BH27 BH30 BH5:BH6</xm:sqref>
        </x14:conditionalFormatting>
        <x14:conditionalFormatting xmlns:xm="http://schemas.microsoft.com/office/excel/2006/main">
          <x14:cfRule type="dataBar" id="{D4E12AD1-4FBF-4190-9A33-BC101EF672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BN9:BN12 BN14 BN17:BN19 BN25:BN27 BN30 BN5:BN6</xm:sqref>
        </x14:conditionalFormatting>
        <x14:conditionalFormatting xmlns:xm="http://schemas.microsoft.com/office/excel/2006/main">
          <x14:cfRule type="dataBar" id="{9CED8640-11DE-40BB-B845-CE5AA7E838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BI9:BI12 BI14 BI17:BI19 BI25:BI27 BI30 BI5:BI6</xm:sqref>
        </x14:conditionalFormatting>
        <x14:conditionalFormatting xmlns:xm="http://schemas.microsoft.com/office/excel/2006/main">
          <x14:cfRule type="dataBar" id="{81695317-B0E4-4165-AB6F-7386BE1741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BJ9:BJ12 BJ14 BJ17:BJ19 BJ25:BJ27 BJ30 BJ5:BJ6</xm:sqref>
        </x14:conditionalFormatting>
        <x14:conditionalFormatting xmlns:xm="http://schemas.microsoft.com/office/excel/2006/main">
          <x14:cfRule type="dataBar" id="{D0A793E9-0497-4277-B994-F362C95B09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BL9:BL12 BL14 BL17:BL19 BL25:BL27 BL30 BL5:BL6</xm:sqref>
        </x14:conditionalFormatting>
        <x14:conditionalFormatting xmlns:xm="http://schemas.microsoft.com/office/excel/2006/main">
          <x14:cfRule type="dataBar" id="{DA03D74E-5D07-44D0-ABF3-B39B3DE0B8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BM9:BM12 BM14 BM17:BM19 BM25:BM27 BM30 BM5:BM6</xm:sqref>
        </x14:conditionalFormatting>
        <x14:conditionalFormatting xmlns:xm="http://schemas.microsoft.com/office/excel/2006/main">
          <x14:cfRule type="dataBar" id="{98C94365-F8FE-4FC5-95C7-10004DAD81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BO9:BO12 BO14 BO17:BO19 BO25:BO27 BO30 BO5:BO6</xm:sqref>
        </x14:conditionalFormatting>
        <x14:conditionalFormatting xmlns:xm="http://schemas.microsoft.com/office/excel/2006/main">
          <x14:cfRule type="dataBar" id="{B87D497F-7D0A-4596-810D-AC5996A110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BQ9:BQ12 BQ14 BQ17:BQ19 BQ25:BQ27 BQ30 BQ5:BQ6</xm:sqref>
        </x14:conditionalFormatting>
        <x14:conditionalFormatting xmlns:xm="http://schemas.microsoft.com/office/excel/2006/main">
          <x14:cfRule type="dataBar" id="{9BF4E96A-0160-4B6C-834A-93A7CF2152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BR9:BR12 BR14 BR17:BR19 BR25:BR27 BR30 BR5:BR6</xm:sqref>
        </x14:conditionalFormatting>
        <x14:conditionalFormatting xmlns:xm="http://schemas.microsoft.com/office/excel/2006/main">
          <x14:cfRule type="dataBar" id="{2BB89983-9D27-4006-9135-612A5C137A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BS9:BS12 BS14 BS17:BS19 BS25:BS27 BS30 BS5:BS6</xm:sqref>
        </x14:conditionalFormatting>
        <x14:conditionalFormatting xmlns:xm="http://schemas.microsoft.com/office/excel/2006/main">
          <x14:cfRule type="dataBar" id="{B8AC69ED-E767-4A06-A3A5-2FED5AEBB7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BT9:BT12 BT14 BT17:BT19 BT25:BT27 BT30 BT5:BT6</xm:sqref>
        </x14:conditionalFormatting>
        <x14:conditionalFormatting xmlns:xm="http://schemas.microsoft.com/office/excel/2006/main">
          <x14:cfRule type="dataBar" id="{E62A235A-908D-42E0-AD64-54AAF354AF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BW9:BW12 BW14 BW17:BW19 BW25:BW27 BW30 BW5:BW6</xm:sqref>
        </x14:conditionalFormatting>
        <x14:conditionalFormatting xmlns:xm="http://schemas.microsoft.com/office/excel/2006/main">
          <x14:cfRule type="dataBar" id="{A3762793-429F-4775-883F-B4E13021A9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BX9:BX12 BX14 BX17:BX19 BX25:BX27 BX30 BX5:BX6</xm:sqref>
        </x14:conditionalFormatting>
        <x14:conditionalFormatting xmlns:xm="http://schemas.microsoft.com/office/excel/2006/main">
          <x14:cfRule type="dataBar" id="{2F347035-A22A-4D9F-A9B7-CF292161DA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BZ9:BZ12 BZ14 BZ17:BZ19 BZ25:BZ27 BZ30 BZ5:BZ6</xm:sqref>
        </x14:conditionalFormatting>
        <x14:conditionalFormatting xmlns:xm="http://schemas.microsoft.com/office/excel/2006/main">
          <x14:cfRule type="dataBar" id="{F4D14169-5528-404A-9574-50AF0EDB5A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CB9:CB12 CB14 CB25:CB27 CB3:CB6 CB16:CB19 CB30:CB38</xm:sqref>
        </x14:conditionalFormatting>
        <x14:conditionalFormatting xmlns:xm="http://schemas.microsoft.com/office/excel/2006/main">
          <x14:cfRule type="dataBar" id="{6DF56C0F-8BA0-4581-ABA8-7A90409EAA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CC9:CC12 CC14 CC25:CC27 CC16:CC19 CC3:CC6 CC30:CC38</xm:sqref>
        </x14:conditionalFormatting>
        <x14:conditionalFormatting xmlns:xm="http://schemas.microsoft.com/office/excel/2006/main">
          <x14:cfRule type="dataBar" id="{6CBB3273-6626-4CE9-8EB5-FD5B1985D5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CD9:CD12 CD14 CD25:CD27 CD30 CD16:CD19 CD3:CD6 CD34:CD38</xm:sqref>
        </x14:conditionalFormatting>
        <x14:conditionalFormatting xmlns:xm="http://schemas.microsoft.com/office/excel/2006/main">
          <x14:cfRule type="dataBar" id="{B659E85D-F204-42A9-B1C6-5D929ED694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CE9:CE12 CE14 CE25:CE27 CE30 CE16:CE19 CE3:CE6 CE34:CE38</xm:sqref>
        </x14:conditionalFormatting>
        <x14:conditionalFormatting xmlns:xm="http://schemas.microsoft.com/office/excel/2006/main">
          <x14:cfRule type="dataBar" id="{1903A1C9-A56E-4CBE-AEAF-0F4BDFD09E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BH3:BH38</xm:sqref>
        </x14:conditionalFormatting>
        <x14:conditionalFormatting xmlns:xm="http://schemas.microsoft.com/office/excel/2006/main">
          <x14:cfRule type="dataBar" id="{2E899BB4-1FC8-4D12-A919-B273C0EF76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BI3:BI38</xm:sqref>
        </x14:conditionalFormatting>
        <x14:conditionalFormatting xmlns:xm="http://schemas.microsoft.com/office/excel/2006/main">
          <x14:cfRule type="dataBar" id="{D4909D1F-E93F-44B1-9CAF-44FEF6BED6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BJ3:BJ38</xm:sqref>
        </x14:conditionalFormatting>
        <x14:conditionalFormatting xmlns:xm="http://schemas.microsoft.com/office/excel/2006/main">
          <x14:cfRule type="dataBar" id="{9058A31B-9058-458A-9D14-05B3981025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BK3:BK38</xm:sqref>
        </x14:conditionalFormatting>
        <x14:conditionalFormatting xmlns:xm="http://schemas.microsoft.com/office/excel/2006/main">
          <x14:cfRule type="dataBar" id="{301B854E-6828-4AD7-8308-04E2D2D249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BL3:BL38</xm:sqref>
        </x14:conditionalFormatting>
        <x14:conditionalFormatting xmlns:xm="http://schemas.microsoft.com/office/excel/2006/main">
          <x14:cfRule type="dataBar" id="{176A0512-0418-4773-872F-774DF4A190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BM3:BM38</xm:sqref>
        </x14:conditionalFormatting>
        <x14:conditionalFormatting xmlns:xm="http://schemas.microsoft.com/office/excel/2006/main">
          <x14:cfRule type="dataBar" id="{0C50FC33-9619-412F-B841-B0E6739626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BN3:BN38</xm:sqref>
        </x14:conditionalFormatting>
        <x14:conditionalFormatting xmlns:xm="http://schemas.microsoft.com/office/excel/2006/main">
          <x14:cfRule type="dataBar" id="{F8A3EADC-CE7E-4F2A-B5FA-23FCE101DF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BP3:BP38</xm:sqref>
        </x14:conditionalFormatting>
        <x14:conditionalFormatting xmlns:xm="http://schemas.microsoft.com/office/excel/2006/main">
          <x14:cfRule type="dataBar" id="{65EE284A-7BC1-47B3-A656-C2783F557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BQ3:BQ38</xm:sqref>
        </x14:conditionalFormatting>
        <x14:conditionalFormatting xmlns:xm="http://schemas.microsoft.com/office/excel/2006/main">
          <x14:cfRule type="dataBar" id="{95F1A2BB-CA5E-47A1-A124-9E2EF52032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BR3:BR38</xm:sqref>
        </x14:conditionalFormatting>
        <x14:conditionalFormatting xmlns:xm="http://schemas.microsoft.com/office/excel/2006/main">
          <x14:cfRule type="dataBar" id="{E658BCFE-19DE-4EAF-B7CA-66FC8E6155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BS3:BS38</xm:sqref>
        </x14:conditionalFormatting>
        <x14:conditionalFormatting xmlns:xm="http://schemas.microsoft.com/office/excel/2006/main">
          <x14:cfRule type="dataBar" id="{0F276CFF-E7DB-46B8-87C1-CAD0E38D2D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BT3:BT38</xm:sqref>
        </x14:conditionalFormatting>
        <x14:conditionalFormatting xmlns:xm="http://schemas.microsoft.com/office/excel/2006/main">
          <x14:cfRule type="dataBar" id="{4209CA23-472C-44D4-8004-783D6CB30E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BZ3:BZ38</xm:sqref>
        </x14:conditionalFormatting>
        <x14:conditionalFormatting xmlns:xm="http://schemas.microsoft.com/office/excel/2006/main">
          <x14:cfRule type="dataBar" id="{38FD34A7-C2D6-4D1C-8ED6-5C41390913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BW3:BW38</xm:sqref>
        </x14:conditionalFormatting>
        <x14:conditionalFormatting xmlns:xm="http://schemas.microsoft.com/office/excel/2006/main">
          <x14:cfRule type="dataBar" id="{FC172EF4-554F-475F-8FB3-1D3634B0EE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BV3:BV38</xm:sqref>
        </x14:conditionalFormatting>
        <x14:conditionalFormatting xmlns:xm="http://schemas.microsoft.com/office/excel/2006/main">
          <x14:cfRule type="dataBar" id="{5AB85252-8263-4521-B7B4-89426FB854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BX3:BX38</xm:sqref>
        </x14:conditionalFormatting>
        <x14:conditionalFormatting xmlns:xm="http://schemas.microsoft.com/office/excel/2006/main">
          <x14:cfRule type="dataBar" id="{AE6EAFFC-0A04-4FE2-A33B-581303E63F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D4:D38</xm:sqref>
        </x14:conditionalFormatting>
        <x14:conditionalFormatting xmlns:xm="http://schemas.microsoft.com/office/excel/2006/main">
          <x14:cfRule type="dataBar" id="{594A79DD-26F0-49C4-96F9-75C2AC67E9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E4:E38</xm:sqref>
        </x14:conditionalFormatting>
        <x14:conditionalFormatting xmlns:xm="http://schemas.microsoft.com/office/excel/2006/main">
          <x14:cfRule type="dataBar" id="{415624C1-7ACC-4FA1-BF4B-F2E9653C35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F4:F38</xm:sqref>
        </x14:conditionalFormatting>
        <x14:conditionalFormatting xmlns:xm="http://schemas.microsoft.com/office/excel/2006/main">
          <x14:cfRule type="dataBar" id="{CB1D0186-8151-427F-B794-E8C520258D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G4:G38</xm:sqref>
        </x14:conditionalFormatting>
        <x14:conditionalFormatting xmlns:xm="http://schemas.microsoft.com/office/excel/2006/main">
          <x14:cfRule type="dataBar" id="{90DA15EE-9966-4110-B082-0BC987D270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H4:H38</xm:sqref>
        </x14:conditionalFormatting>
        <x14:conditionalFormatting xmlns:xm="http://schemas.microsoft.com/office/excel/2006/main">
          <x14:cfRule type="dataBar" id="{B8E76EE7-A4D0-4C1D-96A7-CD6C2A6DF3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I4:I38</xm:sqref>
        </x14:conditionalFormatting>
        <x14:conditionalFormatting xmlns:xm="http://schemas.microsoft.com/office/excel/2006/main">
          <x14:cfRule type="dataBar" id="{21CB0763-AD43-4701-A70D-491B69E3EA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J4:J38</xm:sqref>
        </x14:conditionalFormatting>
        <x14:conditionalFormatting xmlns:xm="http://schemas.microsoft.com/office/excel/2006/main">
          <x14:cfRule type="dataBar" id="{D94B8C33-2999-48D1-88F5-6FF5311769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K4:K38</xm:sqref>
        </x14:conditionalFormatting>
        <x14:conditionalFormatting xmlns:xm="http://schemas.microsoft.com/office/excel/2006/main">
          <x14:cfRule type="dataBar" id="{089A15C1-8186-42F1-AC8F-22A331E2D3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L4:L38</xm:sqref>
        </x14:conditionalFormatting>
        <x14:conditionalFormatting xmlns:xm="http://schemas.microsoft.com/office/excel/2006/main">
          <x14:cfRule type="dataBar" id="{FBE3E86E-4C46-4111-8A13-6FCE53EE74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M4:M38</xm:sqref>
        </x14:conditionalFormatting>
        <x14:conditionalFormatting xmlns:xm="http://schemas.microsoft.com/office/excel/2006/main">
          <x14:cfRule type="dataBar" id="{14B40629-8D50-4793-B3FB-AE75CCDD04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N4:N38</xm:sqref>
        </x14:conditionalFormatting>
        <x14:conditionalFormatting xmlns:xm="http://schemas.microsoft.com/office/excel/2006/main">
          <x14:cfRule type="dataBar" id="{591CBFB8-BBB7-4967-85F2-63FEFB8D68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O4:O38</xm:sqref>
        </x14:conditionalFormatting>
        <x14:conditionalFormatting xmlns:xm="http://schemas.microsoft.com/office/excel/2006/main">
          <x14:cfRule type="dataBar" id="{C2A78BEC-00F1-4A0B-AC23-0857ED0745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P4:P38</xm:sqref>
        </x14:conditionalFormatting>
        <x14:conditionalFormatting xmlns:xm="http://schemas.microsoft.com/office/excel/2006/main">
          <x14:cfRule type="dataBar" id="{CB78A501-A0B4-410D-A4A2-F0CE2FE0E0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Q4:Q38</xm:sqref>
        </x14:conditionalFormatting>
        <x14:conditionalFormatting xmlns:xm="http://schemas.microsoft.com/office/excel/2006/main">
          <x14:cfRule type="dataBar" id="{88C577A1-910B-4718-BC6F-7D6EBCAF9A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R4:R38</xm:sqref>
        </x14:conditionalFormatting>
        <x14:conditionalFormatting xmlns:xm="http://schemas.microsoft.com/office/excel/2006/main">
          <x14:cfRule type="dataBar" id="{5B14D700-C287-4EDD-9817-64FF99B7A4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S4:S38</xm:sqref>
        </x14:conditionalFormatting>
        <x14:conditionalFormatting xmlns:xm="http://schemas.microsoft.com/office/excel/2006/main">
          <x14:cfRule type="dataBar" id="{287C3B8E-435D-4609-968A-1E81B6FDE7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T4:T38</xm:sqref>
        </x14:conditionalFormatting>
        <x14:conditionalFormatting xmlns:xm="http://schemas.microsoft.com/office/excel/2006/main">
          <x14:cfRule type="dataBar" id="{BD468138-CB60-48BD-8046-F32A8570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V4:V38</xm:sqref>
        </x14:conditionalFormatting>
        <x14:conditionalFormatting xmlns:xm="http://schemas.microsoft.com/office/excel/2006/main">
          <x14:cfRule type="dataBar" id="{DA6AA146-F5B5-4A0E-BB22-1272FCBD05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W4:W38</xm:sqref>
        </x14:conditionalFormatting>
        <x14:conditionalFormatting xmlns:xm="http://schemas.microsoft.com/office/excel/2006/main">
          <x14:cfRule type="dataBar" id="{1BDF2A26-447A-47EC-B508-4D0BA82EE3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X4:X38</xm:sqref>
        </x14:conditionalFormatting>
        <x14:conditionalFormatting xmlns:xm="http://schemas.microsoft.com/office/excel/2006/main">
          <x14:cfRule type="dataBar" id="{F33C0A76-0FF1-49C0-ACAC-4243183E91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Y4:Y38</xm:sqref>
        </x14:conditionalFormatting>
        <x14:conditionalFormatting xmlns:xm="http://schemas.microsoft.com/office/excel/2006/main">
          <x14:cfRule type="dataBar" id="{98B5273A-6CD0-4D7A-B309-79324E0E04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Z4:Z38</xm:sqref>
        </x14:conditionalFormatting>
        <x14:conditionalFormatting xmlns:xm="http://schemas.microsoft.com/office/excel/2006/main">
          <x14:cfRule type="dataBar" id="{897A521C-CD33-48B6-A9FC-BC0E40D440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AA4:AA38</xm:sqref>
        </x14:conditionalFormatting>
        <x14:conditionalFormatting xmlns:xm="http://schemas.microsoft.com/office/excel/2006/main">
          <x14:cfRule type="dataBar" id="{034A175E-C143-48D6-BBDD-774A7C0872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AE3:AE38</xm:sqref>
        </x14:conditionalFormatting>
        <x14:conditionalFormatting xmlns:xm="http://schemas.microsoft.com/office/excel/2006/main">
          <x14:cfRule type="dataBar" id="{EBFBE931-CE55-4121-8783-72AE590EE3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AF3:AF38</xm:sqref>
        </x14:conditionalFormatting>
        <x14:conditionalFormatting xmlns:xm="http://schemas.microsoft.com/office/excel/2006/main">
          <x14:cfRule type="dataBar" id="{622A889A-098E-42DF-8C71-D358B48F38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AG3:AG38</xm:sqref>
        </x14:conditionalFormatting>
        <x14:conditionalFormatting xmlns:xm="http://schemas.microsoft.com/office/excel/2006/main">
          <x14:cfRule type="dataBar" id="{F774BC08-2850-4811-94AB-05BCB8E3EB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AH3:AH38</xm:sqref>
        </x14:conditionalFormatting>
        <x14:conditionalFormatting xmlns:xm="http://schemas.microsoft.com/office/excel/2006/main">
          <x14:cfRule type="dataBar" id="{1F2356BB-BCC7-4A7A-B156-7A8DF099A5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AI3:AI38</xm:sqref>
        </x14:conditionalFormatting>
        <x14:conditionalFormatting xmlns:xm="http://schemas.microsoft.com/office/excel/2006/main">
          <x14:cfRule type="dataBar" id="{C096B68E-3402-4903-8DAB-2A5267AE94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AJ3:AJ38</xm:sqref>
        </x14:conditionalFormatting>
        <x14:conditionalFormatting xmlns:xm="http://schemas.microsoft.com/office/excel/2006/main">
          <x14:cfRule type="dataBar" id="{49F6B106-86A6-4124-B6ED-8C672B839D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AK3:AK38</xm:sqref>
        </x14:conditionalFormatting>
        <x14:conditionalFormatting xmlns:xm="http://schemas.microsoft.com/office/excel/2006/main">
          <x14:cfRule type="dataBar" id="{4C8D5934-BFFB-4BA2-8CC0-CF444819A5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AL3:AL38</xm:sqref>
        </x14:conditionalFormatting>
        <x14:conditionalFormatting xmlns:xm="http://schemas.microsoft.com/office/excel/2006/main">
          <x14:cfRule type="dataBar" id="{34F41845-AFDA-463D-8BFD-650B6A6F96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AM3:AM38</xm:sqref>
        </x14:conditionalFormatting>
        <x14:conditionalFormatting xmlns:xm="http://schemas.microsoft.com/office/excel/2006/main">
          <x14:cfRule type="dataBar" id="{0390C200-CF5C-4EB0-920C-5345F63EA6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AN3:AN38</xm:sqref>
        </x14:conditionalFormatting>
        <x14:conditionalFormatting xmlns:xm="http://schemas.microsoft.com/office/excel/2006/main">
          <x14:cfRule type="dataBar" id="{41447D7C-2326-4230-AFC2-4B45F70E73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AO3:AO38</xm:sqref>
        </x14:conditionalFormatting>
        <x14:conditionalFormatting xmlns:xm="http://schemas.microsoft.com/office/excel/2006/main">
          <x14:cfRule type="dataBar" id="{5FB989F7-DE9C-49CB-8EA0-305D6089CD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AP3:AP38</xm:sqref>
        </x14:conditionalFormatting>
        <x14:conditionalFormatting xmlns:xm="http://schemas.microsoft.com/office/excel/2006/main">
          <x14:cfRule type="dataBar" id="{4D46E521-8B92-44AE-ADC4-CC41F0FAEC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AQ3:AQ38</xm:sqref>
        </x14:conditionalFormatting>
        <x14:conditionalFormatting xmlns:xm="http://schemas.microsoft.com/office/excel/2006/main">
          <x14:cfRule type="dataBar" id="{4A02A709-3E91-4F7E-A4EE-70DD685D6E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AR3:AR38</xm:sqref>
        </x14:conditionalFormatting>
        <x14:conditionalFormatting xmlns:xm="http://schemas.microsoft.com/office/excel/2006/main">
          <x14:cfRule type="dataBar" id="{BC43470E-B394-40AD-A3DA-445045E553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AS3:AS38</xm:sqref>
        </x14:conditionalFormatting>
        <x14:conditionalFormatting xmlns:xm="http://schemas.microsoft.com/office/excel/2006/main">
          <x14:cfRule type="dataBar" id="{163CCDD0-9E3F-4FB5-A5C3-6B9DD3CF3A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AT3:AT38</xm:sqref>
        </x14:conditionalFormatting>
        <x14:conditionalFormatting xmlns:xm="http://schemas.microsoft.com/office/excel/2006/main">
          <x14:cfRule type="dataBar" id="{3D4850BA-0CCA-46E3-8B30-4EEE10DCDE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AU3:AV38</xm:sqref>
        </x14:conditionalFormatting>
        <x14:conditionalFormatting xmlns:xm="http://schemas.microsoft.com/office/excel/2006/main">
          <x14:cfRule type="dataBar" id="{9BE37712-F63D-499D-B7B7-8B515F7104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AW3:AW38</xm:sqref>
        </x14:conditionalFormatting>
        <x14:conditionalFormatting xmlns:xm="http://schemas.microsoft.com/office/excel/2006/main">
          <x14:cfRule type="dataBar" id="{94F4570E-69F8-4585-8A95-63BEA6B737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AX3:AX38</xm:sqref>
        </x14:conditionalFormatting>
        <x14:conditionalFormatting xmlns:xm="http://schemas.microsoft.com/office/excel/2006/main">
          <x14:cfRule type="dataBar" id="{D600039E-FAE2-476D-877C-24D0084B03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AY3:AY38</xm:sqref>
        </x14:conditionalFormatting>
        <x14:conditionalFormatting xmlns:xm="http://schemas.microsoft.com/office/excel/2006/main">
          <x14:cfRule type="dataBar" id="{E7971674-3B0B-413B-A5E0-111400D49D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AZ3:AZ38</xm:sqref>
        </x14:conditionalFormatting>
        <x14:conditionalFormatting xmlns:xm="http://schemas.microsoft.com/office/excel/2006/main">
          <x14:cfRule type="dataBar" id="{BB55BADE-929A-4E34-802B-0AD2C60270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BA3:BA38</xm:sqref>
        </x14:conditionalFormatting>
        <x14:conditionalFormatting xmlns:xm="http://schemas.microsoft.com/office/excel/2006/main">
          <x14:cfRule type="dataBar" id="{4384CE07-B840-4E91-9E8E-5B81E571E6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BB3:BB38</xm:sqref>
        </x14:conditionalFormatting>
        <x14:conditionalFormatting xmlns:xm="http://schemas.microsoft.com/office/excel/2006/main">
          <x14:cfRule type="dataBar" id="{955AC160-B382-4694-A984-FC7EE10B00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BI5:BJ6 BL5:BO6 BQ5:BX6 BZ5:CA6 BQ9:BX12 BZ9:CA12 BQ14:BX14 BZ14:CA14 BQ17:BX19 BZ17:CA19 BQ25:BX27 BZ25:CA27 BQ30:BX30 BZ30:CA30 BL9:BO12 BL14:BO14 BL17:BO19 BL25:BO27 BL30:BO30 BI9:BJ12 BI14:BJ14 BI17:BJ19 BI25:BJ27 BI30:BJ30</xm:sqref>
        </x14:conditionalFormatting>
        <x14:conditionalFormatting xmlns:xm="http://schemas.microsoft.com/office/excel/2006/main">
          <x14:cfRule type="dataBar" id="{A130D051-55B8-4DB7-820C-97A5962BB3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BY3:BY38</xm:sqref>
        </x14:conditionalFormatting>
        <x14:conditionalFormatting xmlns:xm="http://schemas.microsoft.com/office/excel/2006/main">
          <x14:cfRule type="dataBar" id="{6AB4FB06-EEBC-47F5-A3E0-1981F1BE67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U5:U35</xm:sqref>
        </x14:conditionalFormatting>
        <x14:conditionalFormatting xmlns:xm="http://schemas.microsoft.com/office/excel/2006/main">
          <x14:cfRule type="dataBar" id="{14FA7E8D-577B-4672-A566-F9DCD21FE8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CK3:CK38</xm:sqref>
        </x14:conditionalFormatting>
        <x14:conditionalFormatting xmlns:xm="http://schemas.microsoft.com/office/excel/2006/main">
          <x14:cfRule type="dataBar" id="{814509CB-C1C7-41D2-B678-9B4ACC6461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CL3:CL38</xm:sqref>
        </x14:conditionalFormatting>
        <x14:conditionalFormatting xmlns:xm="http://schemas.microsoft.com/office/excel/2006/main">
          <x14:cfRule type="dataBar" id="{AEDCF6D6-AE58-45DB-8DF9-447F3ADC07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CM3:CM38</xm:sqref>
        </x14:conditionalFormatting>
        <x14:conditionalFormatting xmlns:xm="http://schemas.microsoft.com/office/excel/2006/main">
          <x14:cfRule type="dataBar" id="{7BC8F6BA-2DA4-4C66-99A5-2BE808BD99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CN3:CN38</xm:sqref>
        </x14:conditionalFormatting>
        <x14:conditionalFormatting xmlns:xm="http://schemas.microsoft.com/office/excel/2006/main">
          <x14:cfRule type="dataBar" id="{F318D5E3-10DD-4527-8B64-1A3DA0AF5D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CO3:CO38</xm:sqref>
        </x14:conditionalFormatting>
        <x14:conditionalFormatting xmlns:xm="http://schemas.microsoft.com/office/excel/2006/main">
          <x14:cfRule type="dataBar" id="{4A2CA9BE-CEA4-406E-A054-DF1292DAF8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CP3:CP38</xm:sqref>
        </x14:conditionalFormatting>
        <x14:conditionalFormatting xmlns:xm="http://schemas.microsoft.com/office/excel/2006/main">
          <x14:cfRule type="dataBar" id="{BB97B55A-B289-49A6-89AF-1C8CA05D32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CQ3:CQ38</xm:sqref>
        </x14:conditionalFormatting>
        <x14:conditionalFormatting xmlns:xm="http://schemas.microsoft.com/office/excel/2006/main">
          <x14:cfRule type="dataBar" id="{6177B325-1155-44A2-AF44-5485D8FEE5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CR3:CR38</xm:sqref>
        </x14:conditionalFormatting>
        <x14:conditionalFormatting xmlns:xm="http://schemas.microsoft.com/office/excel/2006/main">
          <x14:cfRule type="dataBar" id="{70E377DF-EB41-4E7C-9AEE-BC5D4C93BB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CS3:CS38</xm:sqref>
        </x14:conditionalFormatting>
        <x14:conditionalFormatting xmlns:xm="http://schemas.microsoft.com/office/excel/2006/main">
          <x14:cfRule type="dataBar" id="{EE5DF099-1DCE-4EBC-B374-04960BB902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CT3:CT38</xm:sqref>
        </x14:conditionalFormatting>
        <x14:conditionalFormatting xmlns:xm="http://schemas.microsoft.com/office/excel/2006/main">
          <x14:cfRule type="dataBar" id="{76C22338-A968-42E5-9C14-D049578C1B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CU3:DD38</xm:sqref>
        </x14:conditionalFormatting>
        <x14:conditionalFormatting xmlns:xm="http://schemas.microsoft.com/office/excel/2006/main">
          <x14:cfRule type="dataBar" id="{B074BA36-6C82-4C78-B9C0-2FB538AF02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DN3:DN38</xm:sqref>
        </x14:conditionalFormatting>
        <x14:conditionalFormatting xmlns:xm="http://schemas.microsoft.com/office/excel/2006/main">
          <x14:cfRule type="dataBar" id="{44A5C334-EC4C-4368-ABFE-4154B8F960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DO3:DO38</xm:sqref>
        </x14:conditionalFormatting>
        <x14:conditionalFormatting xmlns:xm="http://schemas.microsoft.com/office/excel/2006/main">
          <x14:cfRule type="dataBar" id="{07485430-7D1B-462D-A427-A84C819386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DP3:DP38</xm:sqref>
        </x14:conditionalFormatting>
        <x14:conditionalFormatting xmlns:xm="http://schemas.microsoft.com/office/excel/2006/main">
          <x14:cfRule type="dataBar" id="{1B84B93A-F6D9-4735-B775-948F2D5AF3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DQ3:DQ38</xm:sqref>
        </x14:conditionalFormatting>
        <x14:conditionalFormatting xmlns:xm="http://schemas.microsoft.com/office/excel/2006/main">
          <x14:cfRule type="dataBar" id="{FBF2A068-AE71-432C-B380-E639071D31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DR3:DR38</xm:sqref>
        </x14:conditionalFormatting>
        <x14:conditionalFormatting xmlns:xm="http://schemas.microsoft.com/office/excel/2006/main">
          <x14:cfRule type="dataBar" id="{0D25DF37-426E-4315-8645-7FE0AB8258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DS3:DS38</xm:sqref>
        </x14:conditionalFormatting>
        <x14:conditionalFormatting xmlns:xm="http://schemas.microsoft.com/office/excel/2006/main">
          <x14:cfRule type="dataBar" id="{594BDEEC-BE67-47D3-B325-66FF20FE06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DT3:DT38</xm:sqref>
        </x14:conditionalFormatting>
        <x14:conditionalFormatting xmlns:xm="http://schemas.microsoft.com/office/excel/2006/main">
          <x14:cfRule type="dataBar" id="{AC4D7B03-E28B-4822-8B52-877AE7B096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DU3:DU38</xm:sqref>
        </x14:conditionalFormatting>
        <x14:conditionalFormatting xmlns:xm="http://schemas.microsoft.com/office/excel/2006/main">
          <x14:cfRule type="dataBar" id="{0E0C2999-1FC2-4722-8D5D-D801B8ADF1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DV3:DV38</xm:sqref>
        </x14:conditionalFormatting>
        <x14:conditionalFormatting xmlns:xm="http://schemas.microsoft.com/office/excel/2006/main">
          <x14:cfRule type="dataBar" id="{258532E3-C60F-49EB-BAC2-5D7B6F73E0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DW3:DW38</xm:sqref>
        </x14:conditionalFormatting>
        <x14:conditionalFormatting xmlns:xm="http://schemas.microsoft.com/office/excel/2006/main">
          <x14:cfRule type="dataBar" id="{3B159E6E-F9CA-422F-A2BC-4C5ED0BF08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DX3:EG38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53"/>
  <sheetViews>
    <sheetView zoomScale="70" zoomScaleNormal="70" workbookViewId="0">
      <selection activeCell="AF45" sqref="AF45"/>
    </sheetView>
  </sheetViews>
  <sheetFormatPr defaultRowHeight="16.5" x14ac:dyDescent="0.3"/>
  <cols>
    <col min="1" max="34" width="9" style="62"/>
    <col min="35" max="35" width="9.625" style="62" bestFit="1" customWidth="1"/>
    <col min="36" max="16384" width="9" style="62"/>
  </cols>
  <sheetData>
    <row r="1" spans="1:118" ht="17.25" thickBot="1" x14ac:dyDescent="0.35">
      <c r="A1" s="464" t="s">
        <v>161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5"/>
      <c r="O1" s="465"/>
      <c r="P1" s="465"/>
      <c r="Q1" s="465"/>
      <c r="R1" s="465"/>
      <c r="S1" s="465"/>
      <c r="T1" s="465"/>
      <c r="U1" s="465"/>
      <c r="V1" s="465"/>
      <c r="W1" s="465"/>
      <c r="X1" s="465"/>
      <c r="Y1" s="465"/>
      <c r="Z1" s="465"/>
      <c r="AA1" s="465"/>
      <c r="AB1" s="465"/>
      <c r="AC1" s="465"/>
      <c r="AD1" s="466"/>
      <c r="AE1" s="464" t="s">
        <v>167</v>
      </c>
      <c r="AF1" s="465"/>
      <c r="AG1" s="465"/>
      <c r="AH1" s="465"/>
      <c r="AI1" s="465"/>
      <c r="AJ1" s="465"/>
      <c r="AK1" s="465"/>
      <c r="AL1" s="465"/>
      <c r="AM1" s="465"/>
      <c r="AN1" s="465"/>
      <c r="AO1" s="465"/>
      <c r="AP1" s="465"/>
      <c r="AQ1" s="465"/>
      <c r="AR1" s="465"/>
      <c r="AS1" s="465"/>
      <c r="AT1" s="465"/>
      <c r="AU1" s="465"/>
      <c r="AV1" s="465"/>
      <c r="AW1" s="465"/>
      <c r="AX1" s="465"/>
      <c r="AY1" s="465"/>
      <c r="AZ1" s="465"/>
      <c r="BA1" s="465"/>
      <c r="BB1" s="465"/>
      <c r="BC1" s="465"/>
      <c r="BD1" s="465"/>
      <c r="BE1" s="465"/>
      <c r="BF1" s="465"/>
      <c r="BG1" s="466"/>
      <c r="BH1" s="465" t="s">
        <v>647</v>
      </c>
      <c r="BI1" s="465"/>
      <c r="BJ1" s="465"/>
      <c r="BK1" s="465"/>
      <c r="BL1" s="465"/>
      <c r="BM1" s="465"/>
      <c r="BN1" s="465"/>
      <c r="BO1" s="465"/>
      <c r="BP1" s="465"/>
      <c r="BQ1" s="465"/>
      <c r="BR1" s="465"/>
      <c r="BS1" s="465"/>
      <c r="BT1" s="465"/>
      <c r="BU1" s="465"/>
      <c r="BV1" s="465"/>
      <c r="BW1" s="465"/>
      <c r="BX1" s="465"/>
      <c r="BY1" s="465"/>
      <c r="BZ1" s="465"/>
      <c r="CA1" s="465"/>
      <c r="CB1" s="465"/>
      <c r="CC1" s="465"/>
      <c r="CD1" s="465"/>
      <c r="CE1" s="465"/>
      <c r="CF1" s="465"/>
      <c r="CG1" s="465"/>
      <c r="CH1" s="465"/>
      <c r="CI1" s="465"/>
      <c r="CJ1" s="466"/>
      <c r="CK1" s="464" t="s">
        <v>646</v>
      </c>
      <c r="CL1" s="465"/>
      <c r="CM1" s="465"/>
      <c r="CN1" s="465"/>
      <c r="CO1" s="465"/>
      <c r="CP1" s="465"/>
      <c r="CQ1" s="465"/>
      <c r="CR1" s="465"/>
      <c r="CS1" s="465"/>
      <c r="CT1" s="465"/>
      <c r="CU1" s="465"/>
      <c r="CV1" s="465"/>
      <c r="CW1" s="465"/>
      <c r="CX1" s="465"/>
      <c r="CY1" s="465"/>
      <c r="CZ1" s="465"/>
      <c r="DA1" s="465"/>
      <c r="DB1" s="465"/>
      <c r="DC1" s="465"/>
      <c r="DD1" s="465"/>
      <c r="DE1" s="465"/>
      <c r="DF1" s="465"/>
      <c r="DG1" s="465"/>
      <c r="DH1" s="465"/>
      <c r="DI1" s="465"/>
      <c r="DJ1" s="465"/>
      <c r="DK1" s="465"/>
      <c r="DL1" s="465"/>
      <c r="DM1" s="465"/>
      <c r="DN1" s="466"/>
    </row>
    <row r="2" spans="1:118" ht="17.25" thickBot="1" x14ac:dyDescent="0.35">
      <c r="A2" s="80" t="s">
        <v>125</v>
      </c>
      <c r="B2" s="80" t="s">
        <v>126</v>
      </c>
      <c r="C2" s="63" t="s">
        <v>127</v>
      </c>
      <c r="D2" s="63" t="s">
        <v>128</v>
      </c>
      <c r="E2" s="81" t="s">
        <v>145</v>
      </c>
      <c r="F2" s="81" t="s">
        <v>130</v>
      </c>
      <c r="G2" s="81" t="s">
        <v>131</v>
      </c>
      <c r="H2" s="81" t="s">
        <v>132</v>
      </c>
      <c r="I2" s="81" t="s">
        <v>146</v>
      </c>
      <c r="J2" s="81" t="s">
        <v>147</v>
      </c>
      <c r="K2" s="81" t="s">
        <v>134</v>
      </c>
      <c r="L2" s="81" t="s">
        <v>135</v>
      </c>
      <c r="M2" s="81" t="s">
        <v>136</v>
      </c>
      <c r="N2" s="81" t="s">
        <v>148</v>
      </c>
      <c r="O2" s="81" t="s">
        <v>137</v>
      </c>
      <c r="P2" s="81" t="s">
        <v>149</v>
      </c>
      <c r="Q2" s="81" t="s">
        <v>138</v>
      </c>
      <c r="R2" s="82" t="s">
        <v>150</v>
      </c>
      <c r="S2" s="63" t="s">
        <v>632</v>
      </c>
      <c r="T2" s="391" t="s">
        <v>95</v>
      </c>
      <c r="U2" s="391" t="s">
        <v>152</v>
      </c>
      <c r="V2" s="391" t="s">
        <v>153</v>
      </c>
      <c r="W2" s="391" t="s">
        <v>154</v>
      </c>
      <c r="X2" s="391" t="s">
        <v>155</v>
      </c>
      <c r="Y2" s="391" t="s">
        <v>156</v>
      </c>
      <c r="Z2" s="391" t="s">
        <v>140</v>
      </c>
      <c r="AA2" s="391" t="s">
        <v>141</v>
      </c>
      <c r="AB2" s="391" t="s">
        <v>142</v>
      </c>
      <c r="AC2" s="83" t="s">
        <v>143</v>
      </c>
      <c r="AD2" s="391" t="s">
        <v>144</v>
      </c>
      <c r="AE2" s="80" t="s">
        <v>125</v>
      </c>
      <c r="AF2" s="391" t="s">
        <v>127</v>
      </c>
      <c r="AG2" s="81" t="s">
        <v>128</v>
      </c>
      <c r="AH2" s="391" t="s">
        <v>129</v>
      </c>
      <c r="AI2" s="81" t="s">
        <v>130</v>
      </c>
      <c r="AJ2" s="81" t="s">
        <v>131</v>
      </c>
      <c r="AK2" s="81" t="s">
        <v>164</v>
      </c>
      <c r="AL2" s="81" t="s">
        <v>146</v>
      </c>
      <c r="AM2" s="81" t="s">
        <v>133</v>
      </c>
      <c r="AN2" s="81" t="s">
        <v>134</v>
      </c>
      <c r="AO2" s="81" t="s">
        <v>80</v>
      </c>
      <c r="AP2" s="81" t="s">
        <v>136</v>
      </c>
      <c r="AQ2" s="81" t="s">
        <v>148</v>
      </c>
      <c r="AR2" s="81" t="s">
        <v>91</v>
      </c>
      <c r="AS2" s="82" t="s">
        <v>92</v>
      </c>
      <c r="AT2" s="391" t="s">
        <v>138</v>
      </c>
      <c r="AU2" s="391" t="s">
        <v>139</v>
      </c>
      <c r="AV2" s="391" t="s">
        <v>324</v>
      </c>
      <c r="AW2" s="391" t="s">
        <v>95</v>
      </c>
      <c r="AX2" s="391" t="s">
        <v>152</v>
      </c>
      <c r="AY2" s="391" t="s">
        <v>153</v>
      </c>
      <c r="AZ2" s="81" t="s">
        <v>154</v>
      </c>
      <c r="BA2" s="81" t="s">
        <v>162</v>
      </c>
      <c r="BB2" s="391" t="s">
        <v>156</v>
      </c>
      <c r="BC2" s="391" t="s">
        <v>140</v>
      </c>
      <c r="BD2" s="391" t="s">
        <v>165</v>
      </c>
      <c r="BE2" s="391" t="s">
        <v>163</v>
      </c>
      <c r="BF2" s="83" t="s">
        <v>166</v>
      </c>
      <c r="BG2" s="387" t="s">
        <v>144</v>
      </c>
      <c r="BH2" s="80" t="s">
        <v>11</v>
      </c>
      <c r="BI2" s="278" t="s">
        <v>127</v>
      </c>
      <c r="BJ2" s="416" t="s">
        <v>128</v>
      </c>
      <c r="BK2" s="278" t="s">
        <v>129</v>
      </c>
      <c r="BL2" s="416" t="s">
        <v>130</v>
      </c>
      <c r="BM2" s="416" t="s">
        <v>131</v>
      </c>
      <c r="BN2" s="416" t="s">
        <v>132</v>
      </c>
      <c r="BO2" s="416" t="s">
        <v>146</v>
      </c>
      <c r="BP2" s="416" t="s">
        <v>133</v>
      </c>
      <c r="BQ2" s="416" t="s">
        <v>134</v>
      </c>
      <c r="BR2" s="416" t="s">
        <v>80</v>
      </c>
      <c r="BS2" s="416" t="s">
        <v>136</v>
      </c>
      <c r="BT2" s="416" t="s">
        <v>148</v>
      </c>
      <c r="BU2" s="416" t="s">
        <v>91</v>
      </c>
      <c r="BV2" s="417" t="s">
        <v>92</v>
      </c>
      <c r="BW2" s="278" t="s">
        <v>138</v>
      </c>
      <c r="BX2" s="278" t="s">
        <v>139</v>
      </c>
      <c r="BY2" s="278" t="s">
        <v>632</v>
      </c>
      <c r="BZ2" s="278" t="s">
        <v>95</v>
      </c>
      <c r="CA2" s="278" t="s">
        <v>152</v>
      </c>
      <c r="CB2" s="278" t="s">
        <v>153</v>
      </c>
      <c r="CC2" s="416" t="s">
        <v>154</v>
      </c>
      <c r="CD2" s="416" t="s">
        <v>162</v>
      </c>
      <c r="CE2" s="386" t="s">
        <v>156</v>
      </c>
      <c r="CF2" s="391" t="s">
        <v>140</v>
      </c>
      <c r="CG2" s="391" t="s">
        <v>165</v>
      </c>
      <c r="CH2" s="391" t="s">
        <v>163</v>
      </c>
      <c r="CI2" s="83" t="s">
        <v>143</v>
      </c>
      <c r="CJ2" s="391" t="s">
        <v>144</v>
      </c>
      <c r="CK2" s="471" t="s">
        <v>11</v>
      </c>
      <c r="CL2" s="155" t="s">
        <v>373</v>
      </c>
      <c r="CM2" s="229" t="s">
        <v>128</v>
      </c>
      <c r="CN2" s="155" t="s">
        <v>129</v>
      </c>
      <c r="CO2" s="229" t="s">
        <v>130</v>
      </c>
      <c r="CP2" s="229" t="s">
        <v>131</v>
      </c>
      <c r="CQ2" s="229" t="s">
        <v>132</v>
      </c>
      <c r="CR2" s="229" t="s">
        <v>146</v>
      </c>
      <c r="CS2" s="229" t="s">
        <v>147</v>
      </c>
      <c r="CT2" s="229" t="s">
        <v>134</v>
      </c>
      <c r="CU2" s="229" t="s">
        <v>80</v>
      </c>
      <c r="CV2" s="229" t="s">
        <v>136</v>
      </c>
      <c r="CW2" s="229" t="s">
        <v>148</v>
      </c>
      <c r="CX2" s="229" t="s">
        <v>91</v>
      </c>
      <c r="CY2" s="230" t="s">
        <v>92</v>
      </c>
      <c r="CZ2" s="155" t="s">
        <v>267</v>
      </c>
      <c r="DA2" s="155" t="s">
        <v>94</v>
      </c>
      <c r="DB2" s="155" t="s">
        <v>633</v>
      </c>
      <c r="DC2" s="155" t="s">
        <v>95</v>
      </c>
      <c r="DD2" s="155" t="s">
        <v>152</v>
      </c>
      <c r="DE2" s="155" t="s">
        <v>153</v>
      </c>
      <c r="DF2" s="229" t="s">
        <v>154</v>
      </c>
      <c r="DG2" s="316" t="s">
        <v>162</v>
      </c>
      <c r="DH2" s="428" t="s">
        <v>156</v>
      </c>
      <c r="DI2" s="428" t="s">
        <v>140</v>
      </c>
      <c r="DJ2" s="428" t="s">
        <v>141</v>
      </c>
      <c r="DK2" s="428" t="s">
        <v>142</v>
      </c>
      <c r="DL2" s="472" t="s">
        <v>143</v>
      </c>
      <c r="DM2" s="473" t="s">
        <v>144</v>
      </c>
      <c r="DN2" s="473"/>
    </row>
    <row r="3" spans="1:118" s="385" customFormat="1" x14ac:dyDescent="0.3">
      <c r="A3" s="31"/>
      <c r="B3" s="31"/>
      <c r="C3" s="155"/>
      <c r="D3" s="155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30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231"/>
      <c r="AD3" s="155"/>
      <c r="AE3" s="31"/>
      <c r="AF3" s="155"/>
      <c r="AG3" s="229"/>
      <c r="AH3" s="155"/>
      <c r="AI3" s="229"/>
      <c r="AJ3" s="229"/>
      <c r="AK3" s="229"/>
      <c r="AL3" s="229"/>
      <c r="AM3" s="229"/>
      <c r="AN3" s="229"/>
      <c r="AO3" s="229"/>
      <c r="AP3" s="229"/>
      <c r="AQ3" s="229"/>
      <c r="AR3" s="229"/>
      <c r="AS3" s="230"/>
      <c r="AT3" s="155"/>
      <c r="AU3" s="155"/>
      <c r="AV3" s="155"/>
      <c r="AW3" s="155"/>
      <c r="AX3" s="155"/>
      <c r="AY3" s="155"/>
      <c r="AZ3" s="229"/>
      <c r="BA3" s="229"/>
      <c r="BB3" s="155"/>
      <c r="BC3" s="155"/>
      <c r="BD3" s="155"/>
      <c r="BE3" s="155"/>
      <c r="BF3" s="231"/>
      <c r="BG3" s="103"/>
      <c r="BH3" s="98"/>
      <c r="BI3" s="35"/>
      <c r="BJ3" s="416"/>
      <c r="BK3" s="278"/>
      <c r="BL3" s="416"/>
      <c r="BM3" s="416"/>
      <c r="BN3" s="416"/>
      <c r="BO3" s="416"/>
      <c r="BP3" s="416"/>
      <c r="BQ3" s="416"/>
      <c r="BR3" s="416"/>
      <c r="BS3" s="416"/>
      <c r="BT3" s="416"/>
      <c r="BU3" s="416"/>
      <c r="BV3" s="417"/>
      <c r="BW3" s="278"/>
      <c r="BX3" s="278"/>
      <c r="BY3" s="278"/>
      <c r="BZ3" s="278"/>
      <c r="CA3" s="278"/>
      <c r="CB3" s="278"/>
      <c r="CC3" s="416"/>
      <c r="CD3" s="418"/>
      <c r="CE3" s="155"/>
      <c r="CF3" s="155"/>
      <c r="CG3" s="155"/>
      <c r="CH3" s="155"/>
      <c r="CI3" s="231"/>
      <c r="CJ3" s="155"/>
      <c r="CK3" s="98"/>
      <c r="CL3" s="35"/>
      <c r="CM3" s="416"/>
      <c r="CN3" s="278"/>
      <c r="CO3" s="416"/>
      <c r="CP3" s="416"/>
      <c r="CQ3" s="416"/>
      <c r="CR3" s="416"/>
      <c r="CS3" s="416"/>
      <c r="CT3" s="416"/>
      <c r="CU3" s="416"/>
      <c r="CV3" s="416"/>
      <c r="CW3" s="416"/>
      <c r="CX3" s="416"/>
      <c r="CY3" s="417"/>
      <c r="CZ3" s="278"/>
      <c r="DA3" s="278"/>
      <c r="DB3" s="278"/>
      <c r="DC3" s="278"/>
      <c r="DD3" s="278"/>
      <c r="DE3" s="278"/>
      <c r="DF3" s="416"/>
      <c r="DG3" s="418"/>
      <c r="DH3" s="155"/>
      <c r="DI3" s="155"/>
      <c r="DJ3" s="155"/>
      <c r="DK3" s="155"/>
      <c r="DL3" s="231"/>
      <c r="DM3" s="103"/>
      <c r="DN3" s="103"/>
    </row>
    <row r="4" spans="1:118" s="215" customFormat="1" x14ac:dyDescent="0.3">
      <c r="A4" s="31"/>
      <c r="B4" s="31"/>
      <c r="C4" s="155"/>
      <c r="D4" s="155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30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231"/>
      <c r="AD4" s="155"/>
      <c r="AE4" s="31"/>
      <c r="AF4" s="155"/>
      <c r="AG4" s="229"/>
      <c r="AH4" s="155"/>
      <c r="AI4" s="229"/>
      <c r="AJ4" s="229"/>
      <c r="AK4" s="229"/>
      <c r="AL4" s="229"/>
      <c r="AM4" s="229"/>
      <c r="AN4" s="229"/>
      <c r="AO4" s="229"/>
      <c r="AP4" s="229"/>
      <c r="AQ4" s="229"/>
      <c r="AR4" s="229"/>
      <c r="AS4" s="230"/>
      <c r="AT4" s="155"/>
      <c r="AU4" s="155"/>
      <c r="AV4" s="155"/>
      <c r="AW4" s="155"/>
      <c r="AX4" s="155"/>
      <c r="AY4" s="155"/>
      <c r="AZ4" s="229"/>
      <c r="BA4" s="229"/>
      <c r="BB4" s="155"/>
      <c r="BC4" s="155"/>
      <c r="BD4" s="155"/>
      <c r="BE4" s="155"/>
      <c r="BF4" s="231"/>
      <c r="BG4" s="103"/>
      <c r="BH4" s="98" t="s">
        <v>304</v>
      </c>
      <c r="BI4" s="98">
        <v>1</v>
      </c>
      <c r="BJ4" s="229"/>
      <c r="BK4" s="155">
        <v>1</v>
      </c>
      <c r="BL4" s="229">
        <v>0</v>
      </c>
      <c r="BM4" s="229">
        <v>0</v>
      </c>
      <c r="BN4" s="229">
        <v>0</v>
      </c>
      <c r="BO4" s="229">
        <v>0</v>
      </c>
      <c r="BP4" s="229">
        <v>2</v>
      </c>
      <c r="BQ4" s="229">
        <v>22</v>
      </c>
      <c r="BR4" s="229">
        <v>15</v>
      </c>
      <c r="BS4" s="229">
        <v>9</v>
      </c>
      <c r="BT4" s="229">
        <v>0</v>
      </c>
      <c r="BU4" s="229">
        <v>0</v>
      </c>
      <c r="BV4" s="230">
        <v>0</v>
      </c>
      <c r="BW4" s="155">
        <v>7</v>
      </c>
      <c r="BX4" s="155">
        <v>0</v>
      </c>
      <c r="BY4" s="155">
        <f t="shared" ref="BY4:BY12" si="0">BW4+BX4</f>
        <v>7</v>
      </c>
      <c r="BZ4" s="155">
        <v>0</v>
      </c>
      <c r="CA4" s="155">
        <v>0</v>
      </c>
      <c r="CB4" s="155">
        <v>0</v>
      </c>
      <c r="CC4" s="229">
        <v>10</v>
      </c>
      <c r="CD4" s="316">
        <v>7</v>
      </c>
      <c r="CE4" s="20">
        <v>0</v>
      </c>
      <c r="CF4" s="94">
        <f>(CD4*6)/BQ4</f>
        <v>1.9090909090909092</v>
      </c>
      <c r="CG4" s="49">
        <f>((BX4+BY4)/BQ4)*6</f>
        <v>1.9090909090909092</v>
      </c>
      <c r="CH4" s="49">
        <f>(BZ4/BQ4)*6</f>
        <v>0</v>
      </c>
      <c r="CI4" s="254">
        <f>(BX4+BU4+BT4)/BQ4</f>
        <v>0</v>
      </c>
      <c r="CJ4" s="88">
        <f>(BT4-BU4)/(BS4-BZ4-BU4+BW4)</f>
        <v>0</v>
      </c>
      <c r="CK4" s="98" t="s">
        <v>304</v>
      </c>
      <c r="CL4" s="1">
        <v>1</v>
      </c>
      <c r="CM4" s="384">
        <v>0</v>
      </c>
      <c r="CN4" s="384">
        <v>1</v>
      </c>
      <c r="CO4" s="384">
        <v>0</v>
      </c>
      <c r="CP4" s="384">
        <v>0</v>
      </c>
      <c r="CQ4" s="384">
        <v>0</v>
      </c>
      <c r="CR4" s="384">
        <v>0</v>
      </c>
      <c r="CS4" s="84">
        <v>0.66666666666666663</v>
      </c>
      <c r="CT4" s="384">
        <v>5</v>
      </c>
      <c r="CU4" s="384">
        <v>3</v>
      </c>
      <c r="CV4" s="384">
        <v>1</v>
      </c>
      <c r="CW4" s="384">
        <v>0</v>
      </c>
      <c r="CX4" s="384">
        <v>0</v>
      </c>
      <c r="CY4" s="384">
        <v>0</v>
      </c>
      <c r="CZ4" s="384">
        <v>2</v>
      </c>
      <c r="DA4" s="384">
        <v>0</v>
      </c>
      <c r="DB4" s="155">
        <f t="shared" ref="DB4:DB12" si="1">CZ4+DA4</f>
        <v>2</v>
      </c>
      <c r="DC4" s="384">
        <v>1</v>
      </c>
      <c r="DD4" s="384">
        <v>0</v>
      </c>
      <c r="DE4" s="384">
        <v>0</v>
      </c>
      <c r="DF4" s="384">
        <v>2</v>
      </c>
      <c r="DG4" s="9">
        <v>1</v>
      </c>
      <c r="DH4" s="88" t="e">
        <f t="shared" ref="DH4" si="2">CP4/(CP4+CQ4)</f>
        <v>#DIV/0!</v>
      </c>
      <c r="DI4" s="94">
        <f t="shared" ref="DI4" si="3">(DG4*7)/CT4</f>
        <v>1.4</v>
      </c>
      <c r="DJ4" s="94">
        <f t="shared" ref="DJ4" si="4">((DA4+DB4)/CT4)*7</f>
        <v>2.8000000000000003</v>
      </c>
      <c r="DK4" s="94">
        <f t="shared" ref="DK4" si="5">(DC4/CT4)*7</f>
        <v>1.4000000000000001</v>
      </c>
      <c r="DL4" s="88">
        <f t="shared" ref="DL4" si="6">(CW4+CX4+DA4)/CT4</f>
        <v>0</v>
      </c>
      <c r="DM4" s="89">
        <f t="shared" ref="DM4" si="7">(CW4+CX4)/CV4</f>
        <v>0</v>
      </c>
      <c r="DN4" s="9" t="s">
        <v>304</v>
      </c>
    </row>
    <row r="5" spans="1:118" x14ac:dyDescent="0.3">
      <c r="A5" s="5"/>
      <c r="B5" s="5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55"/>
      <c r="T5" s="384"/>
      <c r="U5" s="384"/>
      <c r="V5" s="384"/>
      <c r="W5" s="384"/>
      <c r="X5" s="384"/>
      <c r="Y5" s="384"/>
      <c r="Z5" s="384"/>
      <c r="AA5" s="384"/>
      <c r="AB5" s="384"/>
      <c r="AC5" s="384"/>
      <c r="AD5" s="384"/>
      <c r="AE5" s="5" t="s">
        <v>105</v>
      </c>
      <c r="AF5" s="384">
        <v>1</v>
      </c>
      <c r="AG5" s="384">
        <v>1</v>
      </c>
      <c r="AH5" s="384">
        <v>0</v>
      </c>
      <c r="AI5" s="384">
        <v>1</v>
      </c>
      <c r="AJ5" s="384">
        <v>0</v>
      </c>
      <c r="AK5" s="384">
        <v>0</v>
      </c>
      <c r="AL5" s="384">
        <v>0</v>
      </c>
      <c r="AM5" s="84">
        <v>2.6666666666666665</v>
      </c>
      <c r="AN5" s="384">
        <v>13</v>
      </c>
      <c r="AO5" s="384">
        <v>9</v>
      </c>
      <c r="AP5" s="384">
        <v>0</v>
      </c>
      <c r="AQ5" s="384">
        <v>0</v>
      </c>
      <c r="AR5" s="384">
        <v>0</v>
      </c>
      <c r="AS5" s="384">
        <v>0</v>
      </c>
      <c r="AT5" s="384">
        <v>2</v>
      </c>
      <c r="AU5" s="384">
        <v>2</v>
      </c>
      <c r="AV5" s="155">
        <f t="shared" ref="AV5:AV9" si="8">AT5+AU5</f>
        <v>4</v>
      </c>
      <c r="AW5" s="384">
        <v>4</v>
      </c>
      <c r="AX5" s="384">
        <v>0</v>
      </c>
      <c r="AY5" s="384">
        <v>0</v>
      </c>
      <c r="AZ5" s="384">
        <v>2</v>
      </c>
      <c r="BA5" s="384">
        <v>2</v>
      </c>
      <c r="BB5" s="88">
        <v>1</v>
      </c>
      <c r="BC5" s="88">
        <v>5.25</v>
      </c>
      <c r="BD5" s="88">
        <v>1.5</v>
      </c>
      <c r="BE5" s="88">
        <v>1.5</v>
      </c>
      <c r="BF5" s="88">
        <v>1.5</v>
      </c>
      <c r="BG5" s="89">
        <v>0.59090909090909094</v>
      </c>
      <c r="BH5" s="1" t="s">
        <v>1</v>
      </c>
      <c r="BI5" s="98">
        <v>1</v>
      </c>
      <c r="BJ5" s="229"/>
      <c r="BK5" s="155">
        <v>1</v>
      </c>
      <c r="BL5" s="229">
        <v>0</v>
      </c>
      <c r="BM5" s="229">
        <v>0</v>
      </c>
      <c r="BN5" s="229">
        <v>0</v>
      </c>
      <c r="BO5" s="229">
        <v>0</v>
      </c>
      <c r="BP5" s="229">
        <v>0</v>
      </c>
      <c r="BQ5" s="229">
        <v>1</v>
      </c>
      <c r="BR5" s="229">
        <v>0</v>
      </c>
      <c r="BS5" s="229">
        <v>0</v>
      </c>
      <c r="BT5" s="229">
        <v>0</v>
      </c>
      <c r="BU5" s="229">
        <v>0</v>
      </c>
      <c r="BV5" s="230">
        <v>0</v>
      </c>
      <c r="BW5" s="155">
        <v>1</v>
      </c>
      <c r="BX5" s="155">
        <v>0</v>
      </c>
      <c r="BY5" s="155">
        <f t="shared" si="0"/>
        <v>1</v>
      </c>
      <c r="BZ5" s="155">
        <v>0</v>
      </c>
      <c r="CA5" s="155">
        <v>0</v>
      </c>
      <c r="CB5" s="155">
        <v>0</v>
      </c>
      <c r="CC5" s="229">
        <v>2</v>
      </c>
      <c r="CD5" s="316">
        <v>0</v>
      </c>
      <c r="CE5" s="20">
        <v>0</v>
      </c>
      <c r="CF5" s="94">
        <v>0</v>
      </c>
      <c r="CG5" s="49">
        <v>0</v>
      </c>
      <c r="CH5" s="49">
        <v>0</v>
      </c>
      <c r="CI5" s="254">
        <v>0</v>
      </c>
      <c r="CJ5" s="88">
        <v>0</v>
      </c>
      <c r="CK5" s="1"/>
      <c r="CL5" s="1"/>
      <c r="CM5" s="384"/>
      <c r="CN5" s="384"/>
      <c r="CO5" s="384"/>
      <c r="CP5" s="384"/>
      <c r="CQ5" s="384"/>
      <c r="CR5" s="384"/>
      <c r="CS5" s="384"/>
      <c r="CT5" s="384"/>
      <c r="CU5" s="384"/>
      <c r="CV5" s="384"/>
      <c r="CW5" s="384"/>
      <c r="CX5" s="384"/>
      <c r="CY5" s="384"/>
      <c r="CZ5" s="384"/>
      <c r="DA5" s="384"/>
      <c r="DB5" s="155"/>
      <c r="DC5" s="384"/>
      <c r="DD5" s="384"/>
      <c r="DE5" s="384"/>
      <c r="DF5" s="384"/>
      <c r="DG5" s="9"/>
      <c r="DH5" s="88"/>
      <c r="DI5" s="94"/>
      <c r="DJ5" s="94"/>
      <c r="DK5" s="94"/>
      <c r="DL5" s="88"/>
      <c r="DM5" s="89"/>
      <c r="DN5" s="9"/>
    </row>
    <row r="6" spans="1:118" s="215" customFormat="1" x14ac:dyDescent="0.3">
      <c r="A6" s="5"/>
      <c r="B6" s="5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155"/>
      <c r="T6" s="384"/>
      <c r="U6" s="384"/>
      <c r="V6" s="384"/>
      <c r="W6" s="384"/>
      <c r="X6" s="384"/>
      <c r="Y6" s="384"/>
      <c r="Z6" s="384"/>
      <c r="AA6" s="384"/>
      <c r="AB6" s="384"/>
      <c r="AC6" s="384"/>
      <c r="AD6" s="384"/>
      <c r="AE6" s="5"/>
      <c r="AF6" s="384"/>
      <c r="AG6" s="384"/>
      <c r="AH6" s="384"/>
      <c r="AI6" s="384"/>
      <c r="AJ6" s="384"/>
      <c r="AK6" s="384"/>
      <c r="AL6" s="384"/>
      <c r="AM6" s="84"/>
      <c r="AN6" s="384"/>
      <c r="AO6" s="384"/>
      <c r="AP6" s="384"/>
      <c r="AQ6" s="384"/>
      <c r="AR6" s="384"/>
      <c r="AS6" s="384"/>
      <c r="AT6" s="384"/>
      <c r="AU6" s="384"/>
      <c r="AV6" s="155"/>
      <c r="AW6" s="384"/>
      <c r="AX6" s="384"/>
      <c r="AY6" s="384"/>
      <c r="AZ6" s="384"/>
      <c r="BA6" s="384"/>
      <c r="BB6" s="88"/>
      <c r="BC6" s="88"/>
      <c r="BD6" s="88"/>
      <c r="BE6" s="88"/>
      <c r="BF6" s="88"/>
      <c r="BG6" s="89"/>
      <c r="BH6" s="1" t="s">
        <v>108</v>
      </c>
      <c r="BI6" s="98">
        <v>7</v>
      </c>
      <c r="BJ6" s="229">
        <v>1</v>
      </c>
      <c r="BK6" s="155">
        <v>6</v>
      </c>
      <c r="BL6" s="229">
        <v>1</v>
      </c>
      <c r="BM6" s="229">
        <v>1</v>
      </c>
      <c r="BN6" s="229">
        <v>2</v>
      </c>
      <c r="BO6" s="229">
        <v>0</v>
      </c>
      <c r="BP6" s="427">
        <v>12.333333333333334</v>
      </c>
      <c r="BQ6" s="229">
        <v>66</v>
      </c>
      <c r="BR6" s="229">
        <v>48</v>
      </c>
      <c r="BS6" s="229">
        <v>14</v>
      </c>
      <c r="BT6" s="229">
        <v>0</v>
      </c>
      <c r="BU6" s="229">
        <v>0</v>
      </c>
      <c r="BV6" s="230">
        <v>1</v>
      </c>
      <c r="BW6" s="155">
        <v>16</v>
      </c>
      <c r="BX6" s="155">
        <v>1</v>
      </c>
      <c r="BY6" s="155">
        <f t="shared" si="0"/>
        <v>17</v>
      </c>
      <c r="BZ6" s="155">
        <v>19</v>
      </c>
      <c r="CA6" s="155">
        <v>0</v>
      </c>
      <c r="CB6" s="155">
        <v>0</v>
      </c>
      <c r="CC6" s="229">
        <v>18</v>
      </c>
      <c r="CD6" s="316">
        <v>14</v>
      </c>
      <c r="CE6" s="20">
        <f>BM6/(BM6+BN6)</f>
        <v>0.33333333333333331</v>
      </c>
      <c r="CF6" s="94">
        <f t="shared" ref="CF6:CF7" si="9">(CD6*6)/BQ6</f>
        <v>1.2727272727272727</v>
      </c>
      <c r="CG6" s="49">
        <f t="shared" ref="CG6:CG7" si="10">((BX6+BY6)/BQ6)*6</f>
        <v>1.6363636363636362</v>
      </c>
      <c r="CH6" s="49">
        <f t="shared" ref="CH6:CH7" si="11">(BZ6/BQ6)*6</f>
        <v>1.7272727272727275</v>
      </c>
      <c r="CI6" s="254">
        <f t="shared" ref="CI6:CI7" si="12">(BX6+BU6+BT6)/BQ6</f>
        <v>1.5151515151515152E-2</v>
      </c>
      <c r="CJ6" s="88">
        <f t="shared" ref="CJ6:CJ7" si="13">(BT6-BU6)/(BS6-BZ6-BU6+BW6)</f>
        <v>0</v>
      </c>
      <c r="CK6" s="1" t="s">
        <v>108</v>
      </c>
      <c r="CL6" s="1">
        <v>4</v>
      </c>
      <c r="CM6" s="384">
        <v>2</v>
      </c>
      <c r="CN6" s="384">
        <v>2</v>
      </c>
      <c r="CO6" s="384">
        <v>0</v>
      </c>
      <c r="CP6" s="384">
        <v>3</v>
      </c>
      <c r="CQ6" s="384">
        <v>0</v>
      </c>
      <c r="CR6" s="384">
        <v>0</v>
      </c>
      <c r="CS6" s="84">
        <v>6</v>
      </c>
      <c r="CT6" s="384">
        <v>66</v>
      </c>
      <c r="CU6" s="384">
        <v>45</v>
      </c>
      <c r="CV6" s="181">
        <v>24</v>
      </c>
      <c r="CW6" s="384">
        <v>2</v>
      </c>
      <c r="CX6" s="384">
        <v>0</v>
      </c>
      <c r="CY6" s="384">
        <v>0</v>
      </c>
      <c r="CZ6" s="384">
        <v>19</v>
      </c>
      <c r="DA6" s="384">
        <v>2</v>
      </c>
      <c r="DB6" s="155">
        <f t="shared" si="1"/>
        <v>21</v>
      </c>
      <c r="DC6" s="384">
        <v>7</v>
      </c>
      <c r="DD6" s="384">
        <v>1</v>
      </c>
      <c r="DE6" s="384">
        <v>0</v>
      </c>
      <c r="DF6" s="384">
        <v>37</v>
      </c>
      <c r="DG6" s="9">
        <v>23</v>
      </c>
      <c r="DH6" s="88">
        <f t="shared" ref="DH6" si="14">CP6/(CP6+CQ6)</f>
        <v>1</v>
      </c>
      <c r="DI6" s="94">
        <f>(DG6*7)/CT6</f>
        <v>2.4393939393939394</v>
      </c>
      <c r="DJ6" s="94">
        <f>((DA6+DB6)/CT6)*7</f>
        <v>2.4393939393939394</v>
      </c>
      <c r="DK6" s="94">
        <f>(DC6/CT6)*7</f>
        <v>0.74242424242424243</v>
      </c>
      <c r="DL6" s="88">
        <f>(CW6+CX6+DA6)/CT6</f>
        <v>6.0606060606060608E-2</v>
      </c>
      <c r="DM6" s="89">
        <f>(CW6+CX6)/CV6</f>
        <v>8.3333333333333329E-2</v>
      </c>
      <c r="DN6" s="103" t="s">
        <v>108</v>
      </c>
    </row>
    <row r="7" spans="1:118" x14ac:dyDescent="0.3">
      <c r="A7" s="31" t="s">
        <v>3</v>
      </c>
      <c r="B7" s="31">
        <v>64</v>
      </c>
      <c r="C7" s="11">
        <v>7</v>
      </c>
      <c r="D7" s="11">
        <v>6</v>
      </c>
      <c r="E7" s="11">
        <v>1</v>
      </c>
      <c r="F7" s="11">
        <v>2</v>
      </c>
      <c r="G7" s="11">
        <v>4</v>
      </c>
      <c r="H7" s="11">
        <v>0</v>
      </c>
      <c r="I7" s="11">
        <v>0</v>
      </c>
      <c r="J7" s="11">
        <v>18</v>
      </c>
      <c r="K7" s="11">
        <v>155</v>
      </c>
      <c r="L7" s="11">
        <v>122</v>
      </c>
      <c r="M7" s="11">
        <v>59</v>
      </c>
      <c r="N7" s="11">
        <v>4</v>
      </c>
      <c r="O7" s="11">
        <v>0</v>
      </c>
      <c r="P7" s="11">
        <v>3</v>
      </c>
      <c r="Q7" s="11">
        <v>26</v>
      </c>
      <c r="R7" s="11">
        <v>4</v>
      </c>
      <c r="S7" s="155">
        <f t="shared" ref="S7:S11" si="15">Q7+R7</f>
        <v>30</v>
      </c>
      <c r="T7" s="384">
        <v>11</v>
      </c>
      <c r="U7" s="384">
        <v>0</v>
      </c>
      <c r="V7" s="384">
        <v>0</v>
      </c>
      <c r="W7" s="384">
        <v>70</v>
      </c>
      <c r="X7" s="384">
        <v>52</v>
      </c>
      <c r="Y7" s="20">
        <v>0.33300000000000002</v>
      </c>
      <c r="Z7" s="49">
        <v>20.22</v>
      </c>
      <c r="AA7" s="20">
        <v>3.714</v>
      </c>
      <c r="AB7" s="20">
        <v>1.571</v>
      </c>
      <c r="AC7" s="20">
        <v>4.944</v>
      </c>
      <c r="AD7" s="20">
        <v>0.48399999999999999</v>
      </c>
      <c r="AE7" s="31" t="s">
        <v>3</v>
      </c>
      <c r="AF7" s="384">
        <v>8</v>
      </c>
      <c r="AG7" s="384">
        <v>6</v>
      </c>
      <c r="AH7" s="384">
        <v>2</v>
      </c>
      <c r="AI7" s="384">
        <v>0</v>
      </c>
      <c r="AJ7" s="384">
        <v>6</v>
      </c>
      <c r="AK7" s="384">
        <v>0</v>
      </c>
      <c r="AL7" s="384">
        <v>0</v>
      </c>
      <c r="AM7" s="84">
        <v>22.666666666666668</v>
      </c>
      <c r="AN7" s="384">
        <v>174</v>
      </c>
      <c r="AO7" s="384">
        <v>132</v>
      </c>
      <c r="AP7" s="384">
        <v>60</v>
      </c>
      <c r="AQ7" s="384">
        <v>2</v>
      </c>
      <c r="AR7" s="384">
        <v>0</v>
      </c>
      <c r="AS7" s="384">
        <v>3</v>
      </c>
      <c r="AT7" s="384">
        <v>35</v>
      </c>
      <c r="AU7" s="384">
        <v>4</v>
      </c>
      <c r="AV7" s="155">
        <f t="shared" si="8"/>
        <v>39</v>
      </c>
      <c r="AW7" s="384">
        <v>18</v>
      </c>
      <c r="AX7" s="384">
        <v>0</v>
      </c>
      <c r="AY7" s="384">
        <v>0</v>
      </c>
      <c r="AZ7" s="384">
        <v>69</v>
      </c>
      <c r="BA7" s="384">
        <v>53</v>
      </c>
      <c r="BB7" s="88">
        <v>0</v>
      </c>
      <c r="BC7" s="88">
        <v>16.367647058823529</v>
      </c>
      <c r="BD7" s="88">
        <v>1.7205882352941175</v>
      </c>
      <c r="BE7" s="88">
        <v>0.79411764705882348</v>
      </c>
      <c r="BF7" s="88">
        <v>0.11525423728813561</v>
      </c>
      <c r="BG7" s="89">
        <v>0.56862745098039214</v>
      </c>
      <c r="BH7" s="98" t="s">
        <v>3</v>
      </c>
      <c r="BI7" s="1">
        <v>7</v>
      </c>
      <c r="BJ7" s="384">
        <v>7</v>
      </c>
      <c r="BK7" s="384"/>
      <c r="BL7" s="384">
        <v>3</v>
      </c>
      <c r="BM7" s="384">
        <v>4</v>
      </c>
      <c r="BN7" s="384">
        <v>0</v>
      </c>
      <c r="BO7" s="384">
        <v>0</v>
      </c>
      <c r="BP7" s="84">
        <v>20</v>
      </c>
      <c r="BQ7" s="384">
        <v>183</v>
      </c>
      <c r="BR7" s="384">
        <v>121</v>
      </c>
      <c r="BS7" s="384">
        <v>63</v>
      </c>
      <c r="BT7" s="384">
        <v>2</v>
      </c>
      <c r="BU7" s="384">
        <v>0</v>
      </c>
      <c r="BV7" s="384">
        <v>2</v>
      </c>
      <c r="BW7" s="384">
        <v>51</v>
      </c>
      <c r="BX7" s="384">
        <v>9</v>
      </c>
      <c r="BY7" s="155">
        <f t="shared" si="0"/>
        <v>60</v>
      </c>
      <c r="BZ7" s="384">
        <v>13</v>
      </c>
      <c r="CA7" s="384">
        <v>2</v>
      </c>
      <c r="CB7" s="384">
        <v>0</v>
      </c>
      <c r="CC7" s="384">
        <v>83</v>
      </c>
      <c r="CD7" s="9">
        <v>73</v>
      </c>
      <c r="CE7" s="20">
        <f>BM7/(BM7+BN7)</f>
        <v>1</v>
      </c>
      <c r="CF7" s="94">
        <f t="shared" si="9"/>
        <v>2.3934426229508197</v>
      </c>
      <c r="CG7" s="49">
        <f t="shared" si="10"/>
        <v>2.262295081967213</v>
      </c>
      <c r="CH7" s="49">
        <f t="shared" si="11"/>
        <v>0.42622950819672129</v>
      </c>
      <c r="CI7" s="254">
        <f t="shared" si="12"/>
        <v>6.0109289617486336E-2</v>
      </c>
      <c r="CJ7" s="88">
        <f t="shared" si="13"/>
        <v>1.9801980198019802E-2</v>
      </c>
      <c r="CK7" s="98" t="s">
        <v>171</v>
      </c>
      <c r="CL7" s="1">
        <v>11</v>
      </c>
      <c r="CM7" s="384">
        <v>9</v>
      </c>
      <c r="CN7" s="384">
        <v>2</v>
      </c>
      <c r="CO7" s="384">
        <v>1</v>
      </c>
      <c r="CP7" s="384">
        <v>7</v>
      </c>
      <c r="CQ7" s="384">
        <v>0</v>
      </c>
      <c r="CR7" s="384">
        <v>0</v>
      </c>
      <c r="CS7" s="84">
        <v>26</v>
      </c>
      <c r="CT7" s="384">
        <v>241</v>
      </c>
      <c r="CU7" s="384">
        <v>179</v>
      </c>
      <c r="CV7" s="384">
        <v>92</v>
      </c>
      <c r="CW7" s="384">
        <v>2</v>
      </c>
      <c r="CX7" s="384">
        <v>1</v>
      </c>
      <c r="CY7" s="384">
        <v>5</v>
      </c>
      <c r="CZ7" s="384">
        <v>49</v>
      </c>
      <c r="DA7" s="384">
        <v>7</v>
      </c>
      <c r="DB7" s="155">
        <f t="shared" si="1"/>
        <v>56</v>
      </c>
      <c r="DC7" s="384">
        <v>13</v>
      </c>
      <c r="DD7" s="384">
        <v>1</v>
      </c>
      <c r="DE7" s="384">
        <v>1</v>
      </c>
      <c r="DF7" s="384">
        <v>115</v>
      </c>
      <c r="DG7" s="9">
        <v>70</v>
      </c>
      <c r="DH7" s="88">
        <f>CP7/(CP7+CQ7)</f>
        <v>1</v>
      </c>
      <c r="DI7" s="94">
        <f t="shared" ref="DI7" si="16">(DG7*7)/CT7</f>
        <v>2.0331950207468878</v>
      </c>
      <c r="DJ7" s="94">
        <f t="shared" ref="DJ7" si="17">((DA7+DB7)/CT7)*7</f>
        <v>1.8298755186721993</v>
      </c>
      <c r="DK7" s="94">
        <f t="shared" ref="DK7" si="18">(DC7/CT7)*7</f>
        <v>0.37759336099585061</v>
      </c>
      <c r="DL7" s="88">
        <f>(CW7+CX7+DA7)/CT7</f>
        <v>4.1493775933609957E-2</v>
      </c>
      <c r="DM7" s="89">
        <f>(CW7+CX7)/CV7</f>
        <v>3.2608695652173912E-2</v>
      </c>
      <c r="DN7" s="103" t="s">
        <v>171</v>
      </c>
    </row>
    <row r="8" spans="1:118" x14ac:dyDescent="0.3">
      <c r="A8" s="31" t="s">
        <v>158</v>
      </c>
      <c r="B8" s="31">
        <v>21</v>
      </c>
      <c r="C8" s="11">
        <v>3</v>
      </c>
      <c r="D8" s="11">
        <v>2</v>
      </c>
      <c r="E8" s="11">
        <v>1</v>
      </c>
      <c r="F8" s="11">
        <v>0</v>
      </c>
      <c r="G8" s="11">
        <v>0</v>
      </c>
      <c r="H8" s="11">
        <v>0</v>
      </c>
      <c r="I8" s="11">
        <v>0</v>
      </c>
      <c r="J8" s="11">
        <v>6</v>
      </c>
      <c r="K8" s="11">
        <v>45</v>
      </c>
      <c r="L8" s="11">
        <v>25</v>
      </c>
      <c r="M8" s="11">
        <v>6</v>
      </c>
      <c r="N8" s="11">
        <v>0</v>
      </c>
      <c r="O8" s="11">
        <v>0</v>
      </c>
      <c r="P8" s="11">
        <v>1</v>
      </c>
      <c r="Q8" s="11">
        <v>16</v>
      </c>
      <c r="R8" s="11">
        <v>3</v>
      </c>
      <c r="S8" s="155">
        <f t="shared" si="15"/>
        <v>19</v>
      </c>
      <c r="T8" s="384">
        <v>8</v>
      </c>
      <c r="U8" s="384">
        <v>0</v>
      </c>
      <c r="V8" s="384">
        <v>0</v>
      </c>
      <c r="W8" s="384">
        <v>16</v>
      </c>
      <c r="X8" s="384">
        <v>8</v>
      </c>
      <c r="Y8" s="20">
        <v>0</v>
      </c>
      <c r="Z8" s="49">
        <v>9.3333333333333339</v>
      </c>
      <c r="AA8" s="20">
        <v>2.2857142857142856</v>
      </c>
      <c r="AB8" s="20">
        <v>1.1428571428571428</v>
      </c>
      <c r="AC8" s="20">
        <v>4.166666666666667</v>
      </c>
      <c r="AD8" s="20">
        <v>0.24</v>
      </c>
      <c r="AE8" s="31"/>
      <c r="AF8" s="384"/>
      <c r="AG8" s="384"/>
      <c r="AH8" s="384"/>
      <c r="AI8" s="384"/>
      <c r="AJ8" s="384"/>
      <c r="AK8" s="384"/>
      <c r="AL8" s="384"/>
      <c r="AM8" s="384"/>
      <c r="AN8" s="384"/>
      <c r="AO8" s="384"/>
      <c r="AP8" s="384"/>
      <c r="AQ8" s="384"/>
      <c r="AR8" s="384"/>
      <c r="AS8" s="384"/>
      <c r="AT8" s="384"/>
      <c r="AU8" s="384"/>
      <c r="AV8" s="155"/>
      <c r="AW8" s="384"/>
      <c r="AX8" s="384"/>
      <c r="AY8" s="384"/>
      <c r="AZ8" s="384"/>
      <c r="BA8" s="384"/>
      <c r="BB8" s="384"/>
      <c r="BC8" s="384"/>
      <c r="BD8" s="384"/>
      <c r="BE8" s="384"/>
      <c r="BF8" s="384"/>
      <c r="BG8" s="9"/>
      <c r="BH8" s="98"/>
      <c r="BI8" s="1"/>
      <c r="BJ8" s="384"/>
      <c r="BK8" s="384"/>
      <c r="BL8" s="384"/>
      <c r="BM8" s="384"/>
      <c r="BN8" s="384"/>
      <c r="BO8" s="384"/>
      <c r="BP8" s="384"/>
      <c r="BQ8" s="384"/>
      <c r="BR8" s="384"/>
      <c r="BS8" s="384"/>
      <c r="BT8" s="384"/>
      <c r="BU8" s="384"/>
      <c r="BV8" s="384"/>
      <c r="BW8" s="384"/>
      <c r="BX8" s="384"/>
      <c r="BY8" s="155"/>
      <c r="BZ8" s="384"/>
      <c r="CA8" s="384"/>
      <c r="CB8" s="384"/>
      <c r="CC8" s="384"/>
      <c r="CD8" s="9"/>
      <c r="CE8" s="20"/>
      <c r="CF8" s="94"/>
      <c r="CG8" s="49"/>
      <c r="CH8" s="49"/>
      <c r="CI8" s="254"/>
      <c r="CJ8" s="88"/>
      <c r="CK8" s="98"/>
      <c r="CL8" s="1"/>
      <c r="CM8" s="384"/>
      <c r="CN8" s="384"/>
      <c r="CO8" s="384"/>
      <c r="CP8" s="384"/>
      <c r="CQ8" s="384"/>
      <c r="CR8" s="384"/>
      <c r="CS8" s="384"/>
      <c r="CT8" s="384"/>
      <c r="CU8" s="384"/>
      <c r="CV8" s="384"/>
      <c r="CW8" s="384"/>
      <c r="CX8" s="384"/>
      <c r="CY8" s="384"/>
      <c r="CZ8" s="384"/>
      <c r="DA8" s="384"/>
      <c r="DB8" s="155"/>
      <c r="DC8" s="384"/>
      <c r="DD8" s="384"/>
      <c r="DE8" s="384"/>
      <c r="DF8" s="384"/>
      <c r="DG8" s="9"/>
      <c r="DH8" s="384"/>
      <c r="DI8" s="384"/>
      <c r="DJ8" s="384"/>
      <c r="DK8" s="384"/>
      <c r="DL8" s="384"/>
      <c r="DM8" s="9"/>
      <c r="DN8" s="9"/>
    </row>
    <row r="9" spans="1:118" x14ac:dyDescent="0.3">
      <c r="A9" s="31" t="s">
        <v>114</v>
      </c>
      <c r="B9" s="31">
        <v>51</v>
      </c>
      <c r="C9" s="11">
        <v>14</v>
      </c>
      <c r="D9" s="11">
        <v>8</v>
      </c>
      <c r="E9" s="11">
        <v>6</v>
      </c>
      <c r="F9" s="11">
        <v>3</v>
      </c>
      <c r="G9" s="11">
        <v>7</v>
      </c>
      <c r="H9" s="11">
        <v>0</v>
      </c>
      <c r="I9" s="11">
        <v>0</v>
      </c>
      <c r="J9" s="11">
        <v>50</v>
      </c>
      <c r="K9" s="11">
        <v>352</v>
      </c>
      <c r="L9" s="11">
        <v>215</v>
      </c>
      <c r="M9" s="11">
        <v>136</v>
      </c>
      <c r="N9" s="11">
        <v>5</v>
      </c>
      <c r="O9" s="11">
        <v>0</v>
      </c>
      <c r="P9" s="11">
        <v>5</v>
      </c>
      <c r="Q9" s="11">
        <v>20</v>
      </c>
      <c r="R9" s="11">
        <v>12</v>
      </c>
      <c r="S9" s="155">
        <f t="shared" si="15"/>
        <v>32</v>
      </c>
      <c r="T9" s="384">
        <v>51</v>
      </c>
      <c r="U9" s="384">
        <v>0</v>
      </c>
      <c r="V9" s="384">
        <v>0</v>
      </c>
      <c r="W9" s="384">
        <v>137</v>
      </c>
      <c r="X9" s="384">
        <v>74</v>
      </c>
      <c r="Y9" s="20">
        <v>0.3</v>
      </c>
      <c r="Z9" s="49">
        <v>10.36</v>
      </c>
      <c r="AA9" s="20">
        <v>2.8571428571428572</v>
      </c>
      <c r="AB9" s="20">
        <v>7.2857142857142856</v>
      </c>
      <c r="AC9" s="20">
        <v>3.36</v>
      </c>
      <c r="AD9" s="20">
        <v>0.63255813953488371</v>
      </c>
      <c r="AE9" s="31" t="s">
        <v>114</v>
      </c>
      <c r="AF9" s="384">
        <v>11</v>
      </c>
      <c r="AG9" s="384">
        <v>9</v>
      </c>
      <c r="AH9" s="384">
        <v>2</v>
      </c>
      <c r="AI9" s="384">
        <v>7</v>
      </c>
      <c r="AJ9" s="384">
        <v>2</v>
      </c>
      <c r="AK9" s="384">
        <v>0</v>
      </c>
      <c r="AL9" s="384">
        <v>0</v>
      </c>
      <c r="AM9" s="84">
        <v>44.333333333333336</v>
      </c>
      <c r="AN9" s="384">
        <v>270</v>
      </c>
      <c r="AO9" s="384">
        <v>242</v>
      </c>
      <c r="AP9" s="384">
        <v>101</v>
      </c>
      <c r="AQ9" s="384">
        <v>0</v>
      </c>
      <c r="AR9" s="384">
        <v>0</v>
      </c>
      <c r="AS9" s="384">
        <v>3</v>
      </c>
      <c r="AT9" s="384">
        <v>15</v>
      </c>
      <c r="AU9" s="384">
        <v>10</v>
      </c>
      <c r="AV9" s="155">
        <f t="shared" si="8"/>
        <v>25</v>
      </c>
      <c r="AW9" s="384">
        <v>61</v>
      </c>
      <c r="AX9" s="384">
        <v>0</v>
      </c>
      <c r="AY9" s="384">
        <v>0</v>
      </c>
      <c r="AZ9" s="384">
        <v>81</v>
      </c>
      <c r="BA9" s="384">
        <v>63</v>
      </c>
      <c r="BB9" s="88">
        <v>0.75</v>
      </c>
      <c r="BC9" s="88">
        <v>9.9473684210526319</v>
      </c>
      <c r="BD9" s="88">
        <v>0.56390977443609025</v>
      </c>
      <c r="BE9" s="88">
        <v>1.37593984962406</v>
      </c>
      <c r="BF9" s="88">
        <v>0.14103923647932132</v>
      </c>
      <c r="BG9" s="89">
        <v>0.52734375</v>
      </c>
      <c r="BH9" s="98" t="s">
        <v>68</v>
      </c>
      <c r="BI9" s="1">
        <v>12</v>
      </c>
      <c r="BJ9" s="384">
        <v>10</v>
      </c>
      <c r="BK9" s="384">
        <v>2</v>
      </c>
      <c r="BL9" s="384">
        <v>5</v>
      </c>
      <c r="BM9" s="384">
        <v>4</v>
      </c>
      <c r="BN9" s="384">
        <v>1</v>
      </c>
      <c r="BO9" s="384">
        <v>0</v>
      </c>
      <c r="BP9" s="84">
        <v>55.666666666666664</v>
      </c>
      <c r="BQ9" s="384">
        <v>345</v>
      </c>
      <c r="BR9" s="384">
        <v>300</v>
      </c>
      <c r="BS9" s="384">
        <v>130</v>
      </c>
      <c r="BT9" s="384">
        <v>2</v>
      </c>
      <c r="BU9" s="384">
        <v>0</v>
      </c>
      <c r="BV9" s="384">
        <v>5</v>
      </c>
      <c r="BW9" s="384">
        <v>29</v>
      </c>
      <c r="BX9" s="384">
        <v>13</v>
      </c>
      <c r="BY9" s="155">
        <f t="shared" si="0"/>
        <v>42</v>
      </c>
      <c r="BZ9" s="384">
        <v>60</v>
      </c>
      <c r="CA9" s="384">
        <v>6</v>
      </c>
      <c r="CB9" s="384">
        <v>0</v>
      </c>
      <c r="CC9" s="384">
        <v>116</v>
      </c>
      <c r="CD9" s="9">
        <v>99</v>
      </c>
      <c r="CE9" s="20">
        <f>BM9/(BM9+BN9)</f>
        <v>0.8</v>
      </c>
      <c r="CF9" s="94">
        <f t="shared" ref="CF9" si="19">(CD9*6)/BQ9</f>
        <v>1.7217391304347827</v>
      </c>
      <c r="CG9" s="49">
        <f t="shared" ref="CG9" si="20">((BX9+BY9)/BQ9)*6</f>
        <v>0.9565217391304347</v>
      </c>
      <c r="CH9" s="49">
        <f t="shared" ref="CH9" si="21">(BZ9/BQ9)*6</f>
        <v>1.0434782608695652</v>
      </c>
      <c r="CI9" s="254">
        <f t="shared" ref="CI9" si="22">(BX9+BU9+BT9)/BQ9</f>
        <v>4.3478260869565216E-2</v>
      </c>
      <c r="CJ9" s="88">
        <f t="shared" ref="CJ9" si="23">(BT9-BU9)/(BS9-BZ9-BU9+BW9)</f>
        <v>2.0202020202020204E-2</v>
      </c>
      <c r="CK9" s="98" t="s">
        <v>68</v>
      </c>
      <c r="CL9" s="1">
        <v>18</v>
      </c>
      <c r="CM9" s="384">
        <v>12</v>
      </c>
      <c r="CN9" s="384">
        <v>6</v>
      </c>
      <c r="CO9" s="384">
        <v>2</v>
      </c>
      <c r="CP9" s="384">
        <v>7</v>
      </c>
      <c r="CQ9" s="384">
        <v>1</v>
      </c>
      <c r="CR9" s="384">
        <v>0</v>
      </c>
      <c r="CS9" s="84">
        <v>71.666666666666671</v>
      </c>
      <c r="CT9" s="384">
        <f>472+42</f>
        <v>514</v>
      </c>
      <c r="CU9" s="384">
        <f>412+35</f>
        <v>447</v>
      </c>
      <c r="CV9" s="384">
        <f>188+19</f>
        <v>207</v>
      </c>
      <c r="CW9" s="384">
        <v>1</v>
      </c>
      <c r="CX9" s="384">
        <v>0</v>
      </c>
      <c r="CY9" s="384">
        <v>11</v>
      </c>
      <c r="CZ9" s="384">
        <v>32</v>
      </c>
      <c r="DA9" s="384">
        <v>24</v>
      </c>
      <c r="DB9" s="155">
        <f t="shared" si="1"/>
        <v>56</v>
      </c>
      <c r="DC9" s="384">
        <v>59</v>
      </c>
      <c r="DD9" s="384">
        <v>6</v>
      </c>
      <c r="DE9" s="384">
        <v>0</v>
      </c>
      <c r="DF9" s="384">
        <f>171+16</f>
        <v>187</v>
      </c>
      <c r="DG9" s="9">
        <v>96</v>
      </c>
      <c r="DH9" s="88">
        <f>CP9/(CP9+CQ9)</f>
        <v>0.875</v>
      </c>
      <c r="DI9" s="94">
        <f>(DG9*7)/CT9</f>
        <v>1.3073929961089494</v>
      </c>
      <c r="DJ9" s="94">
        <f>((DA9+DB9)/CT9)*7</f>
        <v>1.0894941634241246</v>
      </c>
      <c r="DK9" s="94">
        <f>(DC9/CT9)*7</f>
        <v>0.80350194552529175</v>
      </c>
      <c r="DL9" s="88">
        <f>(CW9+CX9+DA9)/CT9</f>
        <v>4.8638132295719845E-2</v>
      </c>
      <c r="DM9" s="89">
        <f>(CW9+CX9)/CV9</f>
        <v>4.830917874396135E-3</v>
      </c>
      <c r="DN9" s="103" t="s">
        <v>68</v>
      </c>
    </row>
    <row r="10" spans="1:118" x14ac:dyDescent="0.3">
      <c r="A10" s="31" t="s">
        <v>159</v>
      </c>
      <c r="B10" s="31">
        <v>25</v>
      </c>
      <c r="C10" s="11">
        <v>4</v>
      </c>
      <c r="D10" s="11">
        <v>3</v>
      </c>
      <c r="E10" s="11">
        <v>1</v>
      </c>
      <c r="F10" s="11">
        <v>0</v>
      </c>
      <c r="G10" s="11">
        <v>3</v>
      </c>
      <c r="H10" s="11">
        <v>0</v>
      </c>
      <c r="I10" s="11">
        <v>0</v>
      </c>
      <c r="J10" s="84">
        <v>2.666666666666667</v>
      </c>
      <c r="K10" s="11">
        <v>42</v>
      </c>
      <c r="L10" s="11">
        <v>24</v>
      </c>
      <c r="M10" s="11">
        <v>13</v>
      </c>
      <c r="N10" s="11">
        <v>2</v>
      </c>
      <c r="O10" s="11">
        <v>0</v>
      </c>
      <c r="P10" s="11">
        <v>0</v>
      </c>
      <c r="Q10" s="11">
        <v>16</v>
      </c>
      <c r="R10" s="11">
        <v>2</v>
      </c>
      <c r="S10" s="155">
        <f t="shared" si="15"/>
        <v>18</v>
      </c>
      <c r="T10" s="384">
        <v>7</v>
      </c>
      <c r="U10" s="384">
        <v>0</v>
      </c>
      <c r="V10" s="384">
        <v>0</v>
      </c>
      <c r="W10" s="384">
        <v>31</v>
      </c>
      <c r="X10" s="384">
        <v>21</v>
      </c>
      <c r="Y10" s="20">
        <v>0</v>
      </c>
      <c r="Z10" s="49">
        <v>55.124999999999993</v>
      </c>
      <c r="AA10" s="20">
        <v>2.2857142857142856</v>
      </c>
      <c r="AB10" s="20">
        <v>1</v>
      </c>
      <c r="AC10" s="20">
        <v>11.624999999999998</v>
      </c>
      <c r="AD10" s="20">
        <v>0.54166666666666663</v>
      </c>
      <c r="AE10" s="31"/>
      <c r="AF10" s="384"/>
      <c r="AG10" s="384"/>
      <c r="AH10" s="384"/>
      <c r="AI10" s="384"/>
      <c r="AJ10" s="384"/>
      <c r="AK10" s="384"/>
      <c r="AL10" s="384"/>
      <c r="AM10" s="384"/>
      <c r="AN10" s="384"/>
      <c r="AO10" s="384"/>
      <c r="AP10" s="384"/>
      <c r="AQ10" s="384"/>
      <c r="AR10" s="384"/>
      <c r="AS10" s="384"/>
      <c r="AT10" s="384"/>
      <c r="AU10" s="384"/>
      <c r="AV10" s="155"/>
      <c r="AW10" s="384"/>
      <c r="AX10" s="384"/>
      <c r="AY10" s="384"/>
      <c r="AZ10" s="384"/>
      <c r="BA10" s="384"/>
      <c r="BB10" s="384"/>
      <c r="BC10" s="384"/>
      <c r="BD10" s="384"/>
      <c r="BE10" s="384"/>
      <c r="BF10" s="384"/>
      <c r="BG10" s="9"/>
      <c r="BH10" s="98"/>
      <c r="BI10" s="1"/>
      <c r="BJ10" s="384"/>
      <c r="BK10" s="384"/>
      <c r="BL10" s="384"/>
      <c r="BM10" s="384"/>
      <c r="BN10" s="384"/>
      <c r="BO10" s="384"/>
      <c r="BP10" s="384"/>
      <c r="BQ10" s="384"/>
      <c r="BR10" s="384"/>
      <c r="BS10" s="384"/>
      <c r="BT10" s="384"/>
      <c r="BU10" s="384"/>
      <c r="BV10" s="384"/>
      <c r="BW10" s="384"/>
      <c r="BX10" s="384"/>
      <c r="BY10" s="155"/>
      <c r="BZ10" s="384"/>
      <c r="CA10" s="384"/>
      <c r="CB10" s="384"/>
      <c r="CC10" s="384"/>
      <c r="CD10" s="9"/>
      <c r="CE10" s="20"/>
      <c r="CF10" s="94"/>
      <c r="CG10" s="49"/>
      <c r="CH10" s="49"/>
      <c r="CI10" s="254"/>
      <c r="CJ10" s="88"/>
      <c r="CK10" s="98"/>
      <c r="CL10" s="1"/>
      <c r="CM10" s="384"/>
      <c r="CN10" s="384"/>
      <c r="CO10" s="384"/>
      <c r="CP10" s="384"/>
      <c r="CQ10" s="384"/>
      <c r="CR10" s="384"/>
      <c r="CS10" s="384"/>
      <c r="CT10" s="384"/>
      <c r="CU10" s="384"/>
      <c r="CV10" s="384"/>
      <c r="CW10" s="384"/>
      <c r="CX10" s="384"/>
      <c r="CY10" s="384"/>
      <c r="CZ10" s="384"/>
      <c r="DA10" s="384"/>
      <c r="DB10" s="155"/>
      <c r="DC10" s="384"/>
      <c r="DD10" s="384"/>
      <c r="DE10" s="384"/>
      <c r="DF10" s="384"/>
      <c r="DG10" s="9"/>
      <c r="DH10" s="384"/>
      <c r="DI10" s="384"/>
      <c r="DJ10" s="384"/>
      <c r="DK10" s="384"/>
      <c r="DL10" s="384"/>
      <c r="DM10" s="9"/>
      <c r="DN10" s="183"/>
    </row>
    <row r="11" spans="1:118" ht="17.25" thickBot="1" x14ac:dyDescent="0.35">
      <c r="A11" s="85" t="s">
        <v>160</v>
      </c>
      <c r="B11" s="85">
        <v>12</v>
      </c>
      <c r="C11" s="11">
        <v>1</v>
      </c>
      <c r="D11" s="11">
        <v>1</v>
      </c>
      <c r="E11" s="11">
        <v>0</v>
      </c>
      <c r="F11" s="11">
        <v>0</v>
      </c>
      <c r="G11" s="11">
        <v>1</v>
      </c>
      <c r="H11" s="11">
        <v>0</v>
      </c>
      <c r="I11" s="11">
        <v>0</v>
      </c>
      <c r="J11" s="11">
        <v>1</v>
      </c>
      <c r="K11" s="11">
        <v>19</v>
      </c>
      <c r="L11" s="11">
        <v>10</v>
      </c>
      <c r="M11" s="11">
        <v>6</v>
      </c>
      <c r="N11" s="11">
        <v>0</v>
      </c>
      <c r="O11" s="11">
        <v>0</v>
      </c>
      <c r="P11" s="11">
        <v>0</v>
      </c>
      <c r="Q11" s="11">
        <v>8</v>
      </c>
      <c r="R11" s="11">
        <v>1</v>
      </c>
      <c r="S11" s="155">
        <f t="shared" si="15"/>
        <v>9</v>
      </c>
      <c r="T11" s="384">
        <v>0</v>
      </c>
      <c r="U11" s="384">
        <v>0</v>
      </c>
      <c r="V11" s="384">
        <v>0</v>
      </c>
      <c r="W11" s="384">
        <v>13</v>
      </c>
      <c r="X11" s="384">
        <v>8</v>
      </c>
      <c r="Y11" s="20">
        <v>0</v>
      </c>
      <c r="Z11" s="49">
        <v>56</v>
      </c>
      <c r="AA11" s="20">
        <v>1.1428571428571428</v>
      </c>
      <c r="AB11" s="20">
        <v>0</v>
      </c>
      <c r="AC11" s="20">
        <v>15</v>
      </c>
      <c r="AD11" s="20">
        <v>0.6</v>
      </c>
      <c r="AE11" s="85"/>
      <c r="AF11" s="384"/>
      <c r="AG11" s="384"/>
      <c r="AH11" s="384"/>
      <c r="AI11" s="384"/>
      <c r="AJ11" s="384"/>
      <c r="AK11" s="384"/>
      <c r="AL11" s="384"/>
      <c r="AM11" s="384"/>
      <c r="AN11" s="384"/>
      <c r="AO11" s="384"/>
      <c r="AP11" s="384"/>
      <c r="AQ11" s="384"/>
      <c r="AR11" s="384"/>
      <c r="AS11" s="384"/>
      <c r="AT11" s="384"/>
      <c r="AU11" s="384"/>
      <c r="AV11" s="155"/>
      <c r="AW11" s="384"/>
      <c r="AX11" s="384"/>
      <c r="AY11" s="384"/>
      <c r="AZ11" s="384"/>
      <c r="BA11" s="384"/>
      <c r="BB11" s="384"/>
      <c r="BC11" s="384"/>
      <c r="BD11" s="384"/>
      <c r="BE11" s="384"/>
      <c r="BF11" s="384"/>
      <c r="BG11" s="9"/>
      <c r="BH11" s="270"/>
      <c r="BI11" s="3"/>
      <c r="BJ11" s="383"/>
      <c r="BK11" s="383"/>
      <c r="BL11" s="383"/>
      <c r="BM11" s="383"/>
      <c r="BN11" s="383"/>
      <c r="BO11" s="383"/>
      <c r="BP11" s="383"/>
      <c r="BQ11" s="383"/>
      <c r="BR11" s="383"/>
      <c r="BS11" s="383"/>
      <c r="BT11" s="383"/>
      <c r="BU11" s="383"/>
      <c r="BV11" s="383"/>
      <c r="BW11" s="383"/>
      <c r="BX11" s="383"/>
      <c r="BY11" s="428"/>
      <c r="BZ11" s="383"/>
      <c r="CA11" s="383"/>
      <c r="CB11" s="383"/>
      <c r="CC11" s="383"/>
      <c r="CD11" s="10"/>
      <c r="CE11" s="20"/>
      <c r="CF11" s="94"/>
      <c r="CG11" s="49"/>
      <c r="CH11" s="49"/>
      <c r="CI11" s="254"/>
      <c r="CJ11" s="88"/>
      <c r="CK11" s="270"/>
      <c r="CL11" s="3"/>
      <c r="CM11" s="383"/>
      <c r="CN11" s="383"/>
      <c r="CO11" s="383"/>
      <c r="CP11" s="383"/>
      <c r="CQ11" s="383"/>
      <c r="CR11" s="383"/>
      <c r="CS11" s="383"/>
      <c r="CT11" s="383"/>
      <c r="CU11" s="383"/>
      <c r="CV11" s="383"/>
      <c r="CW11" s="383"/>
      <c r="CX11" s="383"/>
      <c r="CY11" s="383"/>
      <c r="CZ11" s="383"/>
      <c r="DA11" s="383"/>
      <c r="DB11" s="428"/>
      <c r="DC11" s="383"/>
      <c r="DD11" s="383"/>
      <c r="DE11" s="383"/>
      <c r="DF11" s="383"/>
      <c r="DG11" s="10"/>
      <c r="DH11" s="384"/>
      <c r="DI11" s="384"/>
      <c r="DJ11" s="384"/>
      <c r="DK11" s="384"/>
      <c r="DL11" s="384"/>
      <c r="DM11" s="9"/>
      <c r="DN11" s="9"/>
    </row>
    <row r="12" spans="1:118" ht="18" thickBot="1" x14ac:dyDescent="0.35">
      <c r="A12" s="80"/>
      <c r="B12" s="80"/>
      <c r="C12" s="63"/>
      <c r="D12" s="63">
        <v>20</v>
      </c>
      <c r="E12" s="63">
        <v>9</v>
      </c>
      <c r="F12" s="63">
        <v>5</v>
      </c>
      <c r="G12" s="63">
        <v>15</v>
      </c>
      <c r="H12" s="63">
        <v>0</v>
      </c>
      <c r="I12" s="63">
        <v>0</v>
      </c>
      <c r="J12" s="86">
        <v>77.666666666666671</v>
      </c>
      <c r="K12" s="86">
        <v>613</v>
      </c>
      <c r="L12" s="86">
        <v>396</v>
      </c>
      <c r="M12" s="86">
        <v>220</v>
      </c>
      <c r="N12" s="86">
        <v>11</v>
      </c>
      <c r="O12" s="86">
        <v>0</v>
      </c>
      <c r="P12" s="86">
        <v>9</v>
      </c>
      <c r="Q12" s="86">
        <v>86</v>
      </c>
      <c r="R12" s="86">
        <v>22</v>
      </c>
      <c r="S12" s="86">
        <f>SUM(S3:S11)</f>
        <v>108</v>
      </c>
      <c r="T12" s="86">
        <v>77</v>
      </c>
      <c r="U12" s="86">
        <v>0</v>
      </c>
      <c r="V12" s="86">
        <v>0</v>
      </c>
      <c r="W12" s="86">
        <v>267</v>
      </c>
      <c r="X12" s="86">
        <v>163</v>
      </c>
      <c r="Y12" s="23">
        <v>0.21099999999999999</v>
      </c>
      <c r="Z12" s="87">
        <v>15.3</v>
      </c>
      <c r="AA12" s="23">
        <v>2.3140000000000001</v>
      </c>
      <c r="AB12" s="23">
        <v>2.1139999999999999</v>
      </c>
      <c r="AC12" s="23">
        <v>4.33</v>
      </c>
      <c r="AD12" s="23">
        <v>0.56799999999999995</v>
      </c>
      <c r="AE12" s="80"/>
      <c r="AF12" s="392"/>
      <c r="AG12" s="90">
        <f>SUM(AG4:AG11)</f>
        <v>16</v>
      </c>
      <c r="AH12" s="90">
        <f t="shared" ref="AH12:AV12" si="24">SUM(AH4:AH11)</f>
        <v>4</v>
      </c>
      <c r="AI12" s="90">
        <f t="shared" si="24"/>
        <v>8</v>
      </c>
      <c r="AJ12" s="90">
        <f t="shared" si="24"/>
        <v>8</v>
      </c>
      <c r="AK12" s="90">
        <f t="shared" si="24"/>
        <v>0</v>
      </c>
      <c r="AL12" s="90">
        <f t="shared" si="24"/>
        <v>0</v>
      </c>
      <c r="AM12" s="90">
        <f t="shared" si="24"/>
        <v>69.666666666666671</v>
      </c>
      <c r="AN12" s="90">
        <f t="shared" si="24"/>
        <v>457</v>
      </c>
      <c r="AO12" s="90">
        <f t="shared" si="24"/>
        <v>383</v>
      </c>
      <c r="AP12" s="90">
        <f t="shared" si="24"/>
        <v>161</v>
      </c>
      <c r="AQ12" s="90">
        <f t="shared" si="24"/>
        <v>2</v>
      </c>
      <c r="AR12" s="90">
        <f t="shared" si="24"/>
        <v>0</v>
      </c>
      <c r="AS12" s="90">
        <f t="shared" si="24"/>
        <v>6</v>
      </c>
      <c r="AT12" s="90">
        <f t="shared" si="24"/>
        <v>52</v>
      </c>
      <c r="AU12" s="90">
        <f t="shared" si="24"/>
        <v>16</v>
      </c>
      <c r="AV12" s="90">
        <f t="shared" si="24"/>
        <v>68</v>
      </c>
      <c r="AW12" s="90">
        <f t="shared" ref="AW12:BA12" si="25">SUM(AW4:AW11)</f>
        <v>83</v>
      </c>
      <c r="AX12" s="90">
        <f t="shared" si="25"/>
        <v>0</v>
      </c>
      <c r="AY12" s="90">
        <f t="shared" si="25"/>
        <v>0</v>
      </c>
      <c r="AZ12" s="90">
        <f t="shared" si="25"/>
        <v>152</v>
      </c>
      <c r="BA12" s="90">
        <f t="shared" si="25"/>
        <v>118</v>
      </c>
      <c r="BB12" s="91">
        <v>0.46666666666666667</v>
      </c>
      <c r="BC12" s="91">
        <v>11.85645933014354</v>
      </c>
      <c r="BD12" s="91">
        <v>0.97607655502392343</v>
      </c>
      <c r="BE12" s="91">
        <v>1.1913875598086123</v>
      </c>
      <c r="BF12" s="91">
        <v>0.13227848101265824</v>
      </c>
      <c r="BG12" s="92">
        <v>0.544047619047619</v>
      </c>
      <c r="BH12" s="80"/>
      <c r="BI12" s="389"/>
      <c r="BJ12" s="90">
        <f>SUM(BJ4:BJ11)</f>
        <v>18</v>
      </c>
      <c r="BK12" s="90">
        <f>SUM(BK4:BK11)</f>
        <v>10</v>
      </c>
      <c r="BL12" s="90">
        <f t="shared" ref="BL12:BX12" si="26">SUM(BL4:BL11)</f>
        <v>9</v>
      </c>
      <c r="BM12" s="90">
        <f t="shared" si="26"/>
        <v>9</v>
      </c>
      <c r="BN12" s="90">
        <f t="shared" si="26"/>
        <v>3</v>
      </c>
      <c r="BO12" s="90">
        <f t="shared" si="26"/>
        <v>0</v>
      </c>
      <c r="BP12" s="93">
        <f t="shared" si="26"/>
        <v>90</v>
      </c>
      <c r="BQ12" s="90">
        <f t="shared" si="26"/>
        <v>617</v>
      </c>
      <c r="BR12" s="90">
        <f t="shared" si="26"/>
        <v>484</v>
      </c>
      <c r="BS12" s="90">
        <f t="shared" si="26"/>
        <v>216</v>
      </c>
      <c r="BT12" s="90">
        <f t="shared" si="26"/>
        <v>4</v>
      </c>
      <c r="BU12" s="90">
        <f t="shared" si="26"/>
        <v>0</v>
      </c>
      <c r="BV12" s="90">
        <f t="shared" si="26"/>
        <v>8</v>
      </c>
      <c r="BW12" s="90">
        <f t="shared" si="26"/>
        <v>104</v>
      </c>
      <c r="BX12" s="90">
        <f t="shared" si="26"/>
        <v>23</v>
      </c>
      <c r="BY12" s="391">
        <f t="shared" si="0"/>
        <v>127</v>
      </c>
      <c r="BZ12" s="90">
        <f t="shared" ref="BZ12:CD12" si="27">SUM(BZ4:BZ11)</f>
        <v>92</v>
      </c>
      <c r="CA12" s="90">
        <f t="shared" si="27"/>
        <v>8</v>
      </c>
      <c r="CB12" s="90">
        <f t="shared" si="27"/>
        <v>0</v>
      </c>
      <c r="CC12" s="90">
        <f t="shared" si="27"/>
        <v>229</v>
      </c>
      <c r="CD12" s="426">
        <f t="shared" si="27"/>
        <v>193</v>
      </c>
      <c r="CE12" s="22">
        <f>BM12/(BM12+BN12)</f>
        <v>0.75</v>
      </c>
      <c r="CF12" s="95">
        <f t="shared" ref="CF12" si="28">(CD12*6)/BQ12</f>
        <v>1.8768233387358184</v>
      </c>
      <c r="CG12" s="87">
        <f t="shared" ref="CG12" si="29">((BX12+BY12)/BQ12)*6</f>
        <v>1.4586709886547813</v>
      </c>
      <c r="CH12" s="87">
        <f t="shared" ref="CH12" si="30">(BZ12/BQ12)*6</f>
        <v>0.89465153970826572</v>
      </c>
      <c r="CI12" s="255">
        <f t="shared" ref="CI12" si="31">(BX12+BU12+BT12)/BQ12</f>
        <v>4.3760129659643439E-2</v>
      </c>
      <c r="CJ12" s="91">
        <f t="shared" ref="CJ12" si="32">(BT12-BU12)/(BS12-BZ12-BU12+BW12)</f>
        <v>1.7543859649122806E-2</v>
      </c>
      <c r="CK12" s="386"/>
      <c r="CL12" s="271"/>
      <c r="CM12" s="90">
        <f>SUM(CM4:CM11)</f>
        <v>23</v>
      </c>
      <c r="CN12" s="90">
        <f>SUM(CN4:CN11)</f>
        <v>11</v>
      </c>
      <c r="CO12" s="90">
        <f>SUM(CO4:CO11)</f>
        <v>3</v>
      </c>
      <c r="CP12" s="90">
        <f t="shared" ref="CP12:DA12" si="33">SUM(CP4:CP11)</f>
        <v>17</v>
      </c>
      <c r="CQ12" s="90">
        <f t="shared" si="33"/>
        <v>1</v>
      </c>
      <c r="CR12" s="90">
        <f t="shared" si="33"/>
        <v>0</v>
      </c>
      <c r="CS12" s="93">
        <f t="shared" si="33"/>
        <v>104.33333333333334</v>
      </c>
      <c r="CT12" s="90">
        <f t="shared" si="33"/>
        <v>826</v>
      </c>
      <c r="CU12" s="90">
        <f t="shared" si="33"/>
        <v>674</v>
      </c>
      <c r="CV12" s="90">
        <f t="shared" si="33"/>
        <v>324</v>
      </c>
      <c r="CW12" s="90">
        <f t="shared" si="33"/>
        <v>5</v>
      </c>
      <c r="CX12" s="90">
        <f t="shared" si="33"/>
        <v>1</v>
      </c>
      <c r="CY12" s="90">
        <f t="shared" si="33"/>
        <v>16</v>
      </c>
      <c r="CZ12" s="90">
        <f t="shared" si="33"/>
        <v>102</v>
      </c>
      <c r="DA12" s="90">
        <f t="shared" si="33"/>
        <v>33</v>
      </c>
      <c r="DB12" s="391">
        <f t="shared" si="1"/>
        <v>135</v>
      </c>
      <c r="DC12" s="90">
        <f t="shared" ref="DC12:DG12" si="34">SUM(DC4:DC11)</f>
        <v>80</v>
      </c>
      <c r="DD12" s="90">
        <f t="shared" si="34"/>
        <v>8</v>
      </c>
      <c r="DE12" s="90">
        <f t="shared" si="34"/>
        <v>1</v>
      </c>
      <c r="DF12" s="90">
        <f t="shared" si="34"/>
        <v>341</v>
      </c>
      <c r="DG12" s="426">
        <f t="shared" si="34"/>
        <v>190</v>
      </c>
      <c r="DH12" s="91">
        <f>CP12/(CP12+CQ12)</f>
        <v>0.94444444444444442</v>
      </c>
      <c r="DI12" s="95">
        <f>(DG12*7)/CT12</f>
        <v>1.6101694915254237</v>
      </c>
      <c r="DJ12" s="95">
        <f>((DA12+DB12)/CT12)*7</f>
        <v>1.4237288135593222</v>
      </c>
      <c r="DK12" s="95">
        <f>(DC12/CT12)*7</f>
        <v>0.67796610169491522</v>
      </c>
      <c r="DL12" s="91">
        <f>(CW12+CX12+DA12)/CT12</f>
        <v>4.7215496368038741E-2</v>
      </c>
      <c r="DM12" s="92">
        <f>(CW12+CX12)/CV12</f>
        <v>1.8518518518518517E-2</v>
      </c>
      <c r="DN12" s="390"/>
    </row>
    <row r="13" spans="1:118" ht="17.25" thickBot="1" x14ac:dyDescent="0.35"/>
    <row r="14" spans="1:118" x14ac:dyDescent="0.3">
      <c r="B14" s="450" t="s">
        <v>367</v>
      </c>
      <c r="C14" s="451"/>
      <c r="D14" s="451"/>
      <c r="E14" s="451"/>
      <c r="F14" s="451"/>
      <c r="G14" s="451"/>
      <c r="H14" s="451"/>
      <c r="I14" s="451"/>
      <c r="J14" s="451"/>
      <c r="K14" s="451"/>
      <c r="L14" s="451"/>
      <c r="M14" s="451"/>
      <c r="N14" s="451"/>
      <c r="O14" s="451"/>
      <c r="P14" s="451"/>
      <c r="Q14" s="451"/>
      <c r="R14" s="451"/>
      <c r="S14" s="451"/>
      <c r="T14" s="451"/>
      <c r="U14" s="451"/>
      <c r="V14" s="451"/>
      <c r="W14" s="451"/>
      <c r="X14" s="451"/>
      <c r="Y14" s="451"/>
      <c r="Z14" s="451"/>
      <c r="AA14" s="451"/>
      <c r="AB14" s="451"/>
      <c r="AC14" s="452"/>
    </row>
    <row r="15" spans="1:118" ht="17.25" thickBot="1" x14ac:dyDescent="0.35">
      <c r="B15" s="453"/>
      <c r="C15" s="442"/>
      <c r="D15" s="442"/>
      <c r="E15" s="442"/>
      <c r="F15" s="442"/>
      <c r="G15" s="442"/>
      <c r="H15" s="442"/>
      <c r="I15" s="442"/>
      <c r="J15" s="442"/>
      <c r="K15" s="442"/>
      <c r="L15" s="442"/>
      <c r="M15" s="442"/>
      <c r="N15" s="442"/>
      <c r="O15" s="442"/>
      <c r="P15" s="442"/>
      <c r="Q15" s="442"/>
      <c r="R15" s="442"/>
      <c r="S15" s="442"/>
      <c r="T15" s="442"/>
      <c r="U15" s="442"/>
      <c r="V15" s="442"/>
      <c r="W15" s="442"/>
      <c r="X15" s="442"/>
      <c r="Y15" s="442"/>
      <c r="Z15" s="442"/>
      <c r="AA15" s="442"/>
      <c r="AB15" s="442"/>
      <c r="AC15" s="454"/>
    </row>
    <row r="16" spans="1:118" ht="17.25" thickBot="1" x14ac:dyDescent="0.35">
      <c r="A16" s="48"/>
      <c r="B16" s="265" t="s">
        <v>127</v>
      </c>
      <c r="C16" s="265" t="s">
        <v>128</v>
      </c>
      <c r="D16" s="81" t="s">
        <v>145</v>
      </c>
      <c r="E16" s="81" t="s">
        <v>130</v>
      </c>
      <c r="F16" s="81" t="s">
        <v>131</v>
      </c>
      <c r="G16" s="81" t="s">
        <v>132</v>
      </c>
      <c r="H16" s="81" t="s">
        <v>146</v>
      </c>
      <c r="I16" s="81" t="s">
        <v>147</v>
      </c>
      <c r="J16" s="81" t="s">
        <v>134</v>
      </c>
      <c r="K16" s="81" t="s">
        <v>135</v>
      </c>
      <c r="L16" s="81" t="s">
        <v>136</v>
      </c>
      <c r="M16" s="81" t="s">
        <v>148</v>
      </c>
      <c r="N16" s="81" t="s">
        <v>137</v>
      </c>
      <c r="O16" s="81" t="s">
        <v>149</v>
      </c>
      <c r="P16" s="81" t="s">
        <v>138</v>
      </c>
      <c r="Q16" s="82" t="s">
        <v>150</v>
      </c>
      <c r="R16" s="214" t="s">
        <v>354</v>
      </c>
      <c r="S16" s="265" t="s">
        <v>151</v>
      </c>
      <c r="T16" s="265" t="s">
        <v>152</v>
      </c>
      <c r="U16" s="265" t="s">
        <v>153</v>
      </c>
      <c r="V16" s="265" t="s">
        <v>154</v>
      </c>
      <c r="W16" s="265" t="s">
        <v>155</v>
      </c>
      <c r="X16" s="263" t="s">
        <v>156</v>
      </c>
      <c r="Y16" s="265" t="s">
        <v>140</v>
      </c>
      <c r="Z16" s="214" t="s">
        <v>169</v>
      </c>
      <c r="AA16" s="265" t="s">
        <v>141</v>
      </c>
      <c r="AB16" s="265" t="s">
        <v>142</v>
      </c>
      <c r="AC16" s="83" t="s">
        <v>143</v>
      </c>
      <c r="AD16" s="264" t="s">
        <v>157</v>
      </c>
    </row>
    <row r="17" spans="1:59" s="385" customFormat="1" x14ac:dyDescent="0.3">
      <c r="A17" s="5" t="s">
        <v>627</v>
      </c>
      <c r="B17" s="384">
        <f>C3+AF3+BI3+CL3+B44</f>
        <v>1</v>
      </c>
      <c r="C17" s="384">
        <f t="shared" ref="C17:W25" si="35">D3+AG3+BJ3+CM3+C44</f>
        <v>0</v>
      </c>
      <c r="D17" s="384">
        <f t="shared" si="35"/>
        <v>1</v>
      </c>
      <c r="E17" s="384">
        <f t="shared" si="35"/>
        <v>0</v>
      </c>
      <c r="F17" s="384">
        <f t="shared" si="35"/>
        <v>0</v>
      </c>
      <c r="G17" s="384">
        <f t="shared" si="35"/>
        <v>0</v>
      </c>
      <c r="H17" s="384">
        <f t="shared" si="35"/>
        <v>0</v>
      </c>
      <c r="I17" s="84">
        <f t="shared" si="35"/>
        <v>0</v>
      </c>
      <c r="J17" s="384">
        <f t="shared" si="35"/>
        <v>4</v>
      </c>
      <c r="K17" s="384">
        <f t="shared" si="35"/>
        <v>0</v>
      </c>
      <c r="L17" s="384">
        <f t="shared" si="35"/>
        <v>0</v>
      </c>
      <c r="M17" s="384">
        <f t="shared" si="35"/>
        <v>0</v>
      </c>
      <c r="N17" s="384">
        <f t="shared" si="35"/>
        <v>0</v>
      </c>
      <c r="O17" s="384">
        <f t="shared" si="35"/>
        <v>0</v>
      </c>
      <c r="P17" s="384">
        <f t="shared" si="35"/>
        <v>3</v>
      </c>
      <c r="Q17" s="384">
        <f t="shared" si="35"/>
        <v>1</v>
      </c>
      <c r="R17" s="384">
        <f t="shared" si="35"/>
        <v>4</v>
      </c>
      <c r="S17" s="384">
        <f t="shared" si="35"/>
        <v>0</v>
      </c>
      <c r="T17" s="384">
        <f t="shared" si="35"/>
        <v>2</v>
      </c>
      <c r="U17" s="384">
        <f t="shared" si="35"/>
        <v>0</v>
      </c>
      <c r="V17" s="384">
        <f t="shared" si="35"/>
        <v>4</v>
      </c>
      <c r="W17" s="384">
        <f t="shared" si="35"/>
        <v>4</v>
      </c>
      <c r="X17" s="19" t="e">
        <f>E17/(E17+F17)</f>
        <v>#DIV/0!</v>
      </c>
      <c r="Y17" s="19" t="e">
        <f t="shared" ref="Y17:AD17" si="36">F17/(F17+G17)</f>
        <v>#DIV/0!</v>
      </c>
      <c r="Z17" s="19" t="e">
        <f t="shared" si="36"/>
        <v>#DIV/0!</v>
      </c>
      <c r="AA17" s="19" t="e">
        <f t="shared" si="36"/>
        <v>#DIV/0!</v>
      </c>
      <c r="AB17" s="19">
        <f t="shared" si="36"/>
        <v>0</v>
      </c>
      <c r="AC17" s="19">
        <f t="shared" si="36"/>
        <v>1</v>
      </c>
      <c r="AD17" s="19" t="e">
        <f t="shared" si="36"/>
        <v>#DIV/0!</v>
      </c>
      <c r="AE17" s="385" t="s">
        <v>629</v>
      </c>
    </row>
    <row r="18" spans="1:59" s="215" customFormat="1" ht="17.25" thickBot="1" x14ac:dyDescent="0.35">
      <c r="A18" s="5" t="s">
        <v>335</v>
      </c>
      <c r="B18" s="384">
        <f t="shared" ref="B18:B25" si="37">C4+AF4+BI4+CL4+B45</f>
        <v>2</v>
      </c>
      <c r="C18" s="384">
        <f t="shared" si="35"/>
        <v>0</v>
      </c>
      <c r="D18" s="384">
        <f t="shared" si="35"/>
        <v>2</v>
      </c>
      <c r="E18" s="384">
        <f t="shared" si="35"/>
        <v>0</v>
      </c>
      <c r="F18" s="384">
        <f t="shared" si="35"/>
        <v>0</v>
      </c>
      <c r="G18" s="384">
        <f t="shared" si="35"/>
        <v>0</v>
      </c>
      <c r="H18" s="384">
        <f t="shared" si="35"/>
        <v>0</v>
      </c>
      <c r="I18" s="84">
        <f t="shared" si="35"/>
        <v>2.6666666666666665</v>
      </c>
      <c r="J18" s="384">
        <f t="shared" si="35"/>
        <v>27</v>
      </c>
      <c r="K18" s="384">
        <f t="shared" si="35"/>
        <v>18</v>
      </c>
      <c r="L18" s="384">
        <f t="shared" si="35"/>
        <v>10</v>
      </c>
      <c r="M18" s="384">
        <f t="shared" si="35"/>
        <v>0</v>
      </c>
      <c r="N18" s="384">
        <f t="shared" si="35"/>
        <v>0</v>
      </c>
      <c r="O18" s="384">
        <f t="shared" si="35"/>
        <v>0</v>
      </c>
      <c r="P18" s="384">
        <f t="shared" si="35"/>
        <v>9</v>
      </c>
      <c r="Q18" s="384">
        <f t="shared" si="35"/>
        <v>0</v>
      </c>
      <c r="R18" s="384">
        <f t="shared" si="35"/>
        <v>9</v>
      </c>
      <c r="S18" s="384">
        <f t="shared" si="35"/>
        <v>1</v>
      </c>
      <c r="T18" s="384">
        <f t="shared" si="35"/>
        <v>0</v>
      </c>
      <c r="U18" s="384">
        <f t="shared" si="35"/>
        <v>0</v>
      </c>
      <c r="V18" s="384">
        <f t="shared" si="35"/>
        <v>12</v>
      </c>
      <c r="W18" s="384">
        <f t="shared" si="35"/>
        <v>8</v>
      </c>
      <c r="X18" s="19" t="e">
        <f>E18/(E18+F18)</f>
        <v>#DIV/0!</v>
      </c>
      <c r="Y18" s="94">
        <f>(W18/I18)*7</f>
        <v>21</v>
      </c>
      <c r="Z18" s="94">
        <f>(V18/I18)*7</f>
        <v>31.5</v>
      </c>
      <c r="AA18" s="94">
        <f>(P18/I18)*7</f>
        <v>23.625</v>
      </c>
      <c r="AB18" s="94">
        <f>(S18/I18)*7</f>
        <v>2.625</v>
      </c>
      <c r="AC18" s="94">
        <f>(L18+P18)/I18</f>
        <v>7.125</v>
      </c>
      <c r="AD18" s="89">
        <f>L18/K18</f>
        <v>0.55555555555555558</v>
      </c>
      <c r="AE18" s="215" t="s">
        <v>337</v>
      </c>
    </row>
    <row r="19" spans="1:59" x14ac:dyDescent="0.3">
      <c r="A19" s="5" t="s">
        <v>168</v>
      </c>
      <c r="B19" s="384">
        <f t="shared" si="37"/>
        <v>2</v>
      </c>
      <c r="C19" s="384">
        <f t="shared" si="35"/>
        <v>1</v>
      </c>
      <c r="D19" s="384">
        <f t="shared" si="35"/>
        <v>1</v>
      </c>
      <c r="E19" s="384">
        <f t="shared" si="35"/>
        <v>1</v>
      </c>
      <c r="F19" s="384">
        <f t="shared" si="35"/>
        <v>0</v>
      </c>
      <c r="G19" s="384">
        <f t="shared" si="35"/>
        <v>0</v>
      </c>
      <c r="H19" s="384">
        <f t="shared" si="35"/>
        <v>0</v>
      </c>
      <c r="I19" s="84">
        <f t="shared" si="35"/>
        <v>2.6666666666666665</v>
      </c>
      <c r="J19" s="384">
        <f t="shared" si="35"/>
        <v>14</v>
      </c>
      <c r="K19" s="384">
        <f t="shared" si="35"/>
        <v>9</v>
      </c>
      <c r="L19" s="384">
        <f t="shared" si="35"/>
        <v>0</v>
      </c>
      <c r="M19" s="384">
        <f t="shared" si="35"/>
        <v>0</v>
      </c>
      <c r="N19" s="384">
        <f t="shared" si="35"/>
        <v>0</v>
      </c>
      <c r="O19" s="384">
        <f t="shared" si="35"/>
        <v>0</v>
      </c>
      <c r="P19" s="384">
        <f t="shared" si="35"/>
        <v>3</v>
      </c>
      <c r="Q19" s="384">
        <f t="shared" si="35"/>
        <v>2</v>
      </c>
      <c r="R19" s="384">
        <f t="shared" si="35"/>
        <v>5</v>
      </c>
      <c r="S19" s="384">
        <f t="shared" si="35"/>
        <v>4</v>
      </c>
      <c r="T19" s="384">
        <f t="shared" si="35"/>
        <v>0</v>
      </c>
      <c r="U19" s="384">
        <f t="shared" si="35"/>
        <v>0</v>
      </c>
      <c r="V19" s="384">
        <f t="shared" si="35"/>
        <v>4</v>
      </c>
      <c r="W19" s="384">
        <f t="shared" si="35"/>
        <v>2</v>
      </c>
      <c r="X19" s="19">
        <f>E19/(E19+F19)</f>
        <v>1</v>
      </c>
      <c r="Y19" s="94">
        <f>(W19/I19)*7</f>
        <v>5.25</v>
      </c>
      <c r="Z19" s="94">
        <f>(V19/I19)*7</f>
        <v>10.5</v>
      </c>
      <c r="AA19" s="94">
        <f>(P19/I19)*7</f>
        <v>7.875</v>
      </c>
      <c r="AB19" s="94">
        <f>(S19/I19)*7</f>
        <v>10.5</v>
      </c>
      <c r="AC19" s="94">
        <f>(L19+P19)/I19</f>
        <v>1.125</v>
      </c>
      <c r="AD19" s="89">
        <f>L19/K19</f>
        <v>0</v>
      </c>
      <c r="AE19" s="8" t="s">
        <v>1</v>
      </c>
    </row>
    <row r="20" spans="1:59" s="215" customFormat="1" x14ac:dyDescent="0.3">
      <c r="A20" s="5" t="s">
        <v>336</v>
      </c>
      <c r="B20" s="384">
        <f t="shared" si="37"/>
        <v>11</v>
      </c>
      <c r="C20" s="384">
        <f t="shared" si="35"/>
        <v>3</v>
      </c>
      <c r="D20" s="384">
        <f t="shared" si="35"/>
        <v>8</v>
      </c>
      <c r="E20" s="384">
        <f t="shared" si="35"/>
        <v>1</v>
      </c>
      <c r="F20" s="384">
        <f t="shared" si="35"/>
        <v>4</v>
      </c>
      <c r="G20" s="384">
        <f t="shared" si="35"/>
        <v>2</v>
      </c>
      <c r="H20" s="384">
        <f t="shared" si="35"/>
        <v>0</v>
      </c>
      <c r="I20" s="84">
        <f t="shared" si="35"/>
        <v>18.333333333333336</v>
      </c>
      <c r="J20" s="384">
        <f t="shared" si="35"/>
        <v>132</v>
      </c>
      <c r="K20" s="384">
        <f t="shared" si="35"/>
        <v>93</v>
      </c>
      <c r="L20" s="384">
        <f t="shared" si="35"/>
        <v>38</v>
      </c>
      <c r="M20" s="384">
        <f t="shared" si="35"/>
        <v>2</v>
      </c>
      <c r="N20" s="384">
        <f t="shared" si="35"/>
        <v>0</v>
      </c>
      <c r="O20" s="384">
        <f t="shared" si="35"/>
        <v>1</v>
      </c>
      <c r="P20" s="384">
        <f t="shared" si="35"/>
        <v>35</v>
      </c>
      <c r="Q20" s="384">
        <f t="shared" si="35"/>
        <v>3</v>
      </c>
      <c r="R20" s="384">
        <f t="shared" si="35"/>
        <v>38</v>
      </c>
      <c r="S20" s="384">
        <f t="shared" si="35"/>
        <v>26</v>
      </c>
      <c r="T20" s="384">
        <f t="shared" si="35"/>
        <v>1</v>
      </c>
      <c r="U20" s="384">
        <f t="shared" si="35"/>
        <v>0</v>
      </c>
      <c r="V20" s="384">
        <f t="shared" si="35"/>
        <v>55</v>
      </c>
      <c r="W20" s="384">
        <f t="shared" si="35"/>
        <v>37</v>
      </c>
      <c r="X20" s="19">
        <f>E20/(E20+F20)</f>
        <v>0.2</v>
      </c>
      <c r="Y20" s="94">
        <f>(W20/I20)*7</f>
        <v>14.127272727272727</v>
      </c>
      <c r="Z20" s="94">
        <f>(V20/I20)*7</f>
        <v>20.999999999999996</v>
      </c>
      <c r="AA20" s="94">
        <f>(P20/I20)*7</f>
        <v>13.363636363636363</v>
      </c>
      <c r="AB20" s="94">
        <f>(S20/I20)*7</f>
        <v>9.9272727272727259</v>
      </c>
      <c r="AC20" s="94">
        <f>(L20+P20)/I20</f>
        <v>3.9818181818181815</v>
      </c>
      <c r="AD20" s="89">
        <f>L20/K20</f>
        <v>0.40860215053763443</v>
      </c>
      <c r="AE20" s="9" t="s">
        <v>338</v>
      </c>
    </row>
    <row r="21" spans="1:59" x14ac:dyDescent="0.3">
      <c r="A21" s="31" t="s">
        <v>3</v>
      </c>
      <c r="B21" s="384">
        <f t="shared" si="37"/>
        <v>36</v>
      </c>
      <c r="C21" s="384">
        <f t="shared" si="35"/>
        <v>30</v>
      </c>
      <c r="D21" s="384">
        <f t="shared" si="35"/>
        <v>6</v>
      </c>
      <c r="E21" s="384">
        <f t="shared" si="35"/>
        <v>6</v>
      </c>
      <c r="F21" s="384">
        <f t="shared" si="35"/>
        <v>23</v>
      </c>
      <c r="G21" s="384">
        <f t="shared" si="35"/>
        <v>0</v>
      </c>
      <c r="H21" s="384">
        <f t="shared" si="35"/>
        <v>0</v>
      </c>
      <c r="I21" s="84">
        <f t="shared" si="35"/>
        <v>94.333333333333343</v>
      </c>
      <c r="J21" s="384">
        <f t="shared" si="35"/>
        <v>822</v>
      </c>
      <c r="K21" s="384">
        <f t="shared" si="35"/>
        <v>620</v>
      </c>
      <c r="L21" s="384">
        <f t="shared" si="35"/>
        <v>314</v>
      </c>
      <c r="M21" s="384">
        <f t="shared" si="35"/>
        <v>15</v>
      </c>
      <c r="N21" s="384">
        <f t="shared" si="35"/>
        <v>1</v>
      </c>
      <c r="O21" s="384">
        <f t="shared" si="35"/>
        <v>14</v>
      </c>
      <c r="P21" s="384">
        <f t="shared" si="35"/>
        <v>171</v>
      </c>
      <c r="Q21" s="384">
        <f t="shared" si="35"/>
        <v>26</v>
      </c>
      <c r="R21" s="384">
        <f t="shared" si="35"/>
        <v>197</v>
      </c>
      <c r="S21" s="384">
        <f t="shared" si="35"/>
        <v>60</v>
      </c>
      <c r="T21" s="384">
        <f t="shared" si="35"/>
        <v>3</v>
      </c>
      <c r="U21" s="384">
        <f t="shared" si="35"/>
        <v>1</v>
      </c>
      <c r="V21" s="384">
        <f t="shared" si="35"/>
        <v>382</v>
      </c>
      <c r="W21" s="384">
        <f t="shared" si="35"/>
        <v>285</v>
      </c>
      <c r="X21" s="19">
        <f>E21/(E21+F21)</f>
        <v>0.20689655172413793</v>
      </c>
      <c r="Y21" s="94">
        <f t="shared" ref="Y21:Y26" si="38">(W21/I21)*7</f>
        <v>21.14840989399293</v>
      </c>
      <c r="Z21" s="94">
        <f t="shared" ref="Z21:Z26" si="39">(V21/I21)*7</f>
        <v>28.346289752650172</v>
      </c>
      <c r="AA21" s="94">
        <f t="shared" ref="AA21:AA26" si="40">(P21/I21)*7</f>
        <v>12.689045936395758</v>
      </c>
      <c r="AB21" s="94">
        <f t="shared" ref="AB21:AB26" si="41">(S21/I21)*7</f>
        <v>4.4522968197879855</v>
      </c>
      <c r="AC21" s="94">
        <f t="shared" ref="AC21:AC26" si="42">(L21+P21)/I21</f>
        <v>5.1413427561837448</v>
      </c>
      <c r="AD21" s="89">
        <f t="shared" ref="AD21:AD26" si="43">L21/K21</f>
        <v>0.50645161290322582</v>
      </c>
      <c r="AE21" s="103" t="s">
        <v>3</v>
      </c>
    </row>
    <row r="22" spans="1:59" x14ac:dyDescent="0.3">
      <c r="A22" s="381" t="s">
        <v>158</v>
      </c>
      <c r="B22" s="287">
        <f t="shared" si="37"/>
        <v>3</v>
      </c>
      <c r="C22" s="287">
        <f t="shared" si="35"/>
        <v>2</v>
      </c>
      <c r="D22" s="287">
        <f t="shared" si="35"/>
        <v>1</v>
      </c>
      <c r="E22" s="287">
        <f t="shared" si="35"/>
        <v>0</v>
      </c>
      <c r="F22" s="287">
        <f t="shared" si="35"/>
        <v>0</v>
      </c>
      <c r="G22" s="287">
        <f t="shared" si="35"/>
        <v>0</v>
      </c>
      <c r="H22" s="287">
        <f t="shared" si="35"/>
        <v>0</v>
      </c>
      <c r="I22" s="429">
        <f t="shared" si="35"/>
        <v>6</v>
      </c>
      <c r="J22" s="287">
        <f t="shared" si="35"/>
        <v>45</v>
      </c>
      <c r="K22" s="287">
        <f t="shared" si="35"/>
        <v>25</v>
      </c>
      <c r="L22" s="287">
        <f t="shared" si="35"/>
        <v>6</v>
      </c>
      <c r="M22" s="287">
        <f t="shared" si="35"/>
        <v>0</v>
      </c>
      <c r="N22" s="287">
        <f t="shared" si="35"/>
        <v>0</v>
      </c>
      <c r="O22" s="287">
        <f t="shared" si="35"/>
        <v>1</v>
      </c>
      <c r="P22" s="287">
        <f t="shared" si="35"/>
        <v>16</v>
      </c>
      <c r="Q22" s="287">
        <f t="shared" si="35"/>
        <v>3</v>
      </c>
      <c r="R22" s="287">
        <f t="shared" si="35"/>
        <v>19</v>
      </c>
      <c r="S22" s="287">
        <f t="shared" si="35"/>
        <v>8</v>
      </c>
      <c r="T22" s="287">
        <f t="shared" si="35"/>
        <v>0</v>
      </c>
      <c r="U22" s="287">
        <f t="shared" si="35"/>
        <v>0</v>
      </c>
      <c r="V22" s="287">
        <f t="shared" si="35"/>
        <v>16</v>
      </c>
      <c r="W22" s="287">
        <f t="shared" si="35"/>
        <v>8</v>
      </c>
      <c r="X22" s="382">
        <v>0</v>
      </c>
      <c r="Y22" s="234">
        <f t="shared" si="38"/>
        <v>9.3333333333333321</v>
      </c>
      <c r="Z22" s="234">
        <f t="shared" si="39"/>
        <v>18.666666666666664</v>
      </c>
      <c r="AA22" s="234">
        <f t="shared" si="40"/>
        <v>18.666666666666664</v>
      </c>
      <c r="AB22" s="234">
        <f t="shared" si="41"/>
        <v>9.3333333333333321</v>
      </c>
      <c r="AC22" s="234">
        <f t="shared" si="42"/>
        <v>3.6666666666666665</v>
      </c>
      <c r="AD22" s="235">
        <f t="shared" si="43"/>
        <v>0.24</v>
      </c>
      <c r="AE22" s="211" t="s">
        <v>61</v>
      </c>
    </row>
    <row r="23" spans="1:59" x14ac:dyDescent="0.3">
      <c r="A23" s="31" t="s">
        <v>114</v>
      </c>
      <c r="B23" s="384">
        <f t="shared" si="37"/>
        <v>58</v>
      </c>
      <c r="C23" s="384">
        <f t="shared" si="35"/>
        <v>41</v>
      </c>
      <c r="D23" s="384">
        <f t="shared" si="35"/>
        <v>17</v>
      </c>
      <c r="E23" s="384">
        <f t="shared" si="35"/>
        <v>17</v>
      </c>
      <c r="F23" s="384">
        <f t="shared" si="35"/>
        <v>22</v>
      </c>
      <c r="G23" s="384">
        <f t="shared" si="35"/>
        <v>2</v>
      </c>
      <c r="H23" s="384">
        <f t="shared" si="35"/>
        <v>0</v>
      </c>
      <c r="I23" s="84">
        <f t="shared" si="35"/>
        <v>235.00000000000003</v>
      </c>
      <c r="J23" s="384">
        <f t="shared" si="35"/>
        <v>1569</v>
      </c>
      <c r="K23" s="384">
        <f t="shared" si="35"/>
        <v>1279</v>
      </c>
      <c r="L23" s="384">
        <f t="shared" si="35"/>
        <v>605</v>
      </c>
      <c r="M23" s="384">
        <f t="shared" si="35"/>
        <v>8</v>
      </c>
      <c r="N23" s="384">
        <f t="shared" si="35"/>
        <v>0</v>
      </c>
      <c r="O23" s="384">
        <f t="shared" si="35"/>
        <v>26</v>
      </c>
      <c r="P23" s="384">
        <f t="shared" si="35"/>
        <v>105</v>
      </c>
      <c r="Q23" s="384">
        <f t="shared" si="35"/>
        <v>61</v>
      </c>
      <c r="R23" s="384">
        <f t="shared" si="35"/>
        <v>166</v>
      </c>
      <c r="S23" s="384">
        <f t="shared" si="35"/>
        <v>246</v>
      </c>
      <c r="T23" s="384">
        <f t="shared" si="35"/>
        <v>13</v>
      </c>
      <c r="U23" s="384">
        <f t="shared" si="35"/>
        <v>0</v>
      </c>
      <c r="V23" s="384">
        <f t="shared" si="35"/>
        <v>552</v>
      </c>
      <c r="W23" s="384">
        <f t="shared" si="35"/>
        <v>344</v>
      </c>
      <c r="X23" s="19">
        <f>E23/(E23+F23)</f>
        <v>0.4358974358974359</v>
      </c>
      <c r="Y23" s="94">
        <f t="shared" si="38"/>
        <v>10.246808510638298</v>
      </c>
      <c r="Z23" s="94">
        <f t="shared" si="39"/>
        <v>16.44255319148936</v>
      </c>
      <c r="AA23" s="94">
        <f t="shared" si="40"/>
        <v>3.1276595744680846</v>
      </c>
      <c r="AB23" s="94">
        <f t="shared" si="41"/>
        <v>7.3276595744680844</v>
      </c>
      <c r="AC23" s="94">
        <f t="shared" si="42"/>
        <v>3.0212765957446805</v>
      </c>
      <c r="AD23" s="89">
        <f t="shared" si="43"/>
        <v>0.47302580140734951</v>
      </c>
      <c r="AE23" s="103" t="s">
        <v>68</v>
      </c>
    </row>
    <row r="24" spans="1:59" x14ac:dyDescent="0.3">
      <c r="A24" s="378" t="s">
        <v>159</v>
      </c>
      <c r="B24" s="363">
        <f t="shared" si="37"/>
        <v>4</v>
      </c>
      <c r="C24" s="363">
        <f t="shared" si="35"/>
        <v>3</v>
      </c>
      <c r="D24" s="363">
        <f t="shared" si="35"/>
        <v>1</v>
      </c>
      <c r="E24" s="363">
        <f t="shared" si="35"/>
        <v>0</v>
      </c>
      <c r="F24" s="363">
        <f t="shared" si="35"/>
        <v>3</v>
      </c>
      <c r="G24" s="363">
        <f t="shared" si="35"/>
        <v>0</v>
      </c>
      <c r="H24" s="363">
        <f t="shared" si="35"/>
        <v>0</v>
      </c>
      <c r="I24" s="430">
        <f t="shared" si="35"/>
        <v>2.666666666666667</v>
      </c>
      <c r="J24" s="363">
        <f t="shared" si="35"/>
        <v>42</v>
      </c>
      <c r="K24" s="363">
        <f t="shared" si="35"/>
        <v>24</v>
      </c>
      <c r="L24" s="363">
        <f t="shared" si="35"/>
        <v>13</v>
      </c>
      <c r="M24" s="363">
        <f t="shared" si="35"/>
        <v>2</v>
      </c>
      <c r="N24" s="363">
        <f t="shared" si="35"/>
        <v>0</v>
      </c>
      <c r="O24" s="363">
        <f t="shared" si="35"/>
        <v>0</v>
      </c>
      <c r="P24" s="363">
        <f t="shared" si="35"/>
        <v>16</v>
      </c>
      <c r="Q24" s="363">
        <f t="shared" si="35"/>
        <v>2</v>
      </c>
      <c r="R24" s="363">
        <f t="shared" si="35"/>
        <v>18</v>
      </c>
      <c r="S24" s="363">
        <f t="shared" si="35"/>
        <v>7</v>
      </c>
      <c r="T24" s="363">
        <f t="shared" si="35"/>
        <v>0</v>
      </c>
      <c r="U24" s="363">
        <f t="shared" si="35"/>
        <v>0</v>
      </c>
      <c r="V24" s="363">
        <f t="shared" si="35"/>
        <v>31</v>
      </c>
      <c r="W24" s="363">
        <f t="shared" si="35"/>
        <v>21</v>
      </c>
      <c r="X24" s="191">
        <f>E24/(E24+F24)</f>
        <v>0</v>
      </c>
      <c r="Y24" s="379">
        <f t="shared" si="38"/>
        <v>55.124999999999993</v>
      </c>
      <c r="Z24" s="232">
        <f t="shared" si="39"/>
        <v>81.374999999999986</v>
      </c>
      <c r="AA24" s="232">
        <f t="shared" si="40"/>
        <v>41.999999999999993</v>
      </c>
      <c r="AB24" s="232">
        <f t="shared" si="41"/>
        <v>18.374999999999996</v>
      </c>
      <c r="AC24" s="232">
        <f t="shared" si="42"/>
        <v>10.874999999999998</v>
      </c>
      <c r="AD24" s="233">
        <f t="shared" si="43"/>
        <v>0.54166666666666663</v>
      </c>
      <c r="AE24" s="266" t="s">
        <v>69</v>
      </c>
    </row>
    <row r="25" spans="1:59" ht="17.25" thickBot="1" x14ac:dyDescent="0.35">
      <c r="A25" s="378" t="s">
        <v>160</v>
      </c>
      <c r="B25" s="363">
        <f t="shared" si="37"/>
        <v>1</v>
      </c>
      <c r="C25" s="363">
        <f t="shared" si="35"/>
        <v>1</v>
      </c>
      <c r="D25" s="363">
        <f t="shared" si="35"/>
        <v>0</v>
      </c>
      <c r="E25" s="363">
        <f t="shared" si="35"/>
        <v>0</v>
      </c>
      <c r="F25" s="363">
        <f t="shared" si="35"/>
        <v>1</v>
      </c>
      <c r="G25" s="363">
        <f t="shared" si="35"/>
        <v>0</v>
      </c>
      <c r="H25" s="363">
        <f t="shared" si="35"/>
        <v>0</v>
      </c>
      <c r="I25" s="430">
        <f t="shared" si="35"/>
        <v>1</v>
      </c>
      <c r="J25" s="363">
        <f t="shared" si="35"/>
        <v>19</v>
      </c>
      <c r="K25" s="363">
        <f t="shared" si="35"/>
        <v>10</v>
      </c>
      <c r="L25" s="363">
        <f t="shared" si="35"/>
        <v>6</v>
      </c>
      <c r="M25" s="363">
        <f t="shared" si="35"/>
        <v>0</v>
      </c>
      <c r="N25" s="363">
        <f t="shared" si="35"/>
        <v>0</v>
      </c>
      <c r="O25" s="363">
        <f t="shared" si="35"/>
        <v>0</v>
      </c>
      <c r="P25" s="363">
        <f t="shared" si="35"/>
        <v>8</v>
      </c>
      <c r="Q25" s="363">
        <f t="shared" si="35"/>
        <v>1</v>
      </c>
      <c r="R25" s="363">
        <f t="shared" si="35"/>
        <v>9</v>
      </c>
      <c r="S25" s="363">
        <f t="shared" si="35"/>
        <v>0</v>
      </c>
      <c r="T25" s="363">
        <f t="shared" si="35"/>
        <v>0</v>
      </c>
      <c r="U25" s="363">
        <f t="shared" si="35"/>
        <v>0</v>
      </c>
      <c r="V25" s="363">
        <f t="shared" si="35"/>
        <v>13</v>
      </c>
      <c r="W25" s="363">
        <f t="shared" si="35"/>
        <v>8</v>
      </c>
      <c r="X25" s="312">
        <f>E25/(E25+F25)</f>
        <v>0</v>
      </c>
      <c r="Y25" s="380">
        <f t="shared" si="38"/>
        <v>56</v>
      </c>
      <c r="Z25" s="272">
        <f t="shared" si="39"/>
        <v>91</v>
      </c>
      <c r="AA25" s="272">
        <f t="shared" si="40"/>
        <v>56</v>
      </c>
      <c r="AB25" s="272">
        <f t="shared" si="41"/>
        <v>0</v>
      </c>
      <c r="AC25" s="272">
        <f t="shared" si="42"/>
        <v>14</v>
      </c>
      <c r="AD25" s="273">
        <f t="shared" si="43"/>
        <v>0.6</v>
      </c>
      <c r="AE25" s="267" t="s">
        <v>160</v>
      </c>
    </row>
    <row r="26" spans="1:59" ht="17.25" thickBot="1" x14ac:dyDescent="0.35">
      <c r="A26" s="48"/>
      <c r="B26" s="214"/>
      <c r="C26" s="214">
        <f>SUM(C18:C25)</f>
        <v>81</v>
      </c>
      <c r="D26" s="214">
        <f t="shared" ref="D26:I26" si="44">SUM(D18:D25)</f>
        <v>36</v>
      </c>
      <c r="E26" s="214">
        <f t="shared" si="44"/>
        <v>25</v>
      </c>
      <c r="F26" s="214">
        <f t="shared" si="44"/>
        <v>53</v>
      </c>
      <c r="G26" s="214">
        <f t="shared" si="44"/>
        <v>4</v>
      </c>
      <c r="H26" s="214">
        <f t="shared" si="44"/>
        <v>0</v>
      </c>
      <c r="I26" s="86">
        <f t="shared" si="44"/>
        <v>362.66666666666674</v>
      </c>
      <c r="J26" s="214">
        <f>SUM(J17:J25)</f>
        <v>2674</v>
      </c>
      <c r="K26" s="392">
        <f t="shared" ref="K26:W26" si="45">SUM(K17:K25)</f>
        <v>2078</v>
      </c>
      <c r="L26" s="392">
        <f t="shared" si="45"/>
        <v>992</v>
      </c>
      <c r="M26" s="392">
        <f t="shared" si="45"/>
        <v>27</v>
      </c>
      <c r="N26" s="392">
        <f t="shared" si="45"/>
        <v>1</v>
      </c>
      <c r="O26" s="392">
        <f t="shared" si="45"/>
        <v>42</v>
      </c>
      <c r="P26" s="392">
        <f t="shared" si="45"/>
        <v>366</v>
      </c>
      <c r="Q26" s="392">
        <f t="shared" si="45"/>
        <v>99</v>
      </c>
      <c r="R26" s="392">
        <f t="shared" si="45"/>
        <v>465</v>
      </c>
      <c r="S26" s="392">
        <f t="shared" si="45"/>
        <v>352</v>
      </c>
      <c r="T26" s="392">
        <f t="shared" si="45"/>
        <v>19</v>
      </c>
      <c r="U26" s="392">
        <f t="shared" si="45"/>
        <v>1</v>
      </c>
      <c r="V26" s="392">
        <f t="shared" si="45"/>
        <v>1069</v>
      </c>
      <c r="W26" s="392">
        <f t="shared" si="45"/>
        <v>717</v>
      </c>
      <c r="X26" s="23">
        <f>E26/(E26+F26)</f>
        <v>0.32051282051282054</v>
      </c>
      <c r="Y26" s="95">
        <f t="shared" si="38"/>
        <v>13.839154411764703</v>
      </c>
      <c r="Z26" s="95">
        <f t="shared" si="39"/>
        <v>20.633272058823525</v>
      </c>
      <c r="AA26" s="95">
        <f t="shared" si="40"/>
        <v>7.0643382352941169</v>
      </c>
      <c r="AB26" s="95">
        <f t="shared" si="41"/>
        <v>6.7941176470588216</v>
      </c>
      <c r="AC26" s="95">
        <f t="shared" si="42"/>
        <v>3.7444852941176463</v>
      </c>
      <c r="AD26" s="92">
        <f t="shared" si="43"/>
        <v>0.4773820981713186</v>
      </c>
    </row>
    <row r="29" spans="1:59" ht="17.25" thickBot="1" x14ac:dyDescent="0.35"/>
    <row r="30" spans="1:59" ht="17.25" thickBot="1" x14ac:dyDescent="0.35">
      <c r="B30" s="455" t="s">
        <v>558</v>
      </c>
      <c r="C30" s="456"/>
      <c r="D30" s="455" t="s">
        <v>560</v>
      </c>
      <c r="E30" s="456"/>
      <c r="F30" s="457" t="s">
        <v>559</v>
      </c>
      <c r="G30" s="458"/>
      <c r="H30" s="457" t="s">
        <v>561</v>
      </c>
      <c r="I30" s="458"/>
      <c r="J30" s="457" t="s">
        <v>131</v>
      </c>
      <c r="K30" s="458"/>
      <c r="L30" s="457" t="s">
        <v>562</v>
      </c>
      <c r="M30" s="458"/>
      <c r="N30" s="457" t="s">
        <v>563</v>
      </c>
      <c r="O30" s="458"/>
      <c r="P30" s="457" t="s">
        <v>590</v>
      </c>
      <c r="Q30" s="458"/>
      <c r="R30" s="457" t="s">
        <v>564</v>
      </c>
      <c r="S30" s="458"/>
      <c r="T30" s="457" t="s">
        <v>16</v>
      </c>
      <c r="U30" s="458"/>
      <c r="V30" s="457" t="s">
        <v>136</v>
      </c>
      <c r="W30" s="458"/>
      <c r="X30" s="457" t="s">
        <v>148</v>
      </c>
      <c r="Y30" s="458"/>
      <c r="Z30" s="457" t="s">
        <v>27</v>
      </c>
      <c r="AA30" s="458"/>
      <c r="AB30" s="457" t="s">
        <v>92</v>
      </c>
      <c r="AC30" s="458"/>
      <c r="AD30" s="457" t="s">
        <v>29</v>
      </c>
      <c r="AE30" s="458"/>
      <c r="AF30" s="459" t="s">
        <v>94</v>
      </c>
      <c r="AG30" s="460"/>
      <c r="AH30" s="447" t="s">
        <v>215</v>
      </c>
      <c r="AI30" s="448"/>
      <c r="AJ30" s="455" t="s">
        <v>591</v>
      </c>
      <c r="AK30" s="456"/>
      <c r="AL30" s="455" t="s">
        <v>152</v>
      </c>
      <c r="AM30" s="456"/>
      <c r="AN30" s="461" t="s">
        <v>153</v>
      </c>
      <c r="AO30" s="461"/>
      <c r="AP30" s="455" t="s">
        <v>154</v>
      </c>
      <c r="AQ30" s="456"/>
      <c r="AR30" s="455" t="s">
        <v>155</v>
      </c>
      <c r="AS30" s="456"/>
      <c r="AT30" s="455" t="s">
        <v>156</v>
      </c>
      <c r="AU30" s="456"/>
      <c r="AV30" s="455" t="s">
        <v>140</v>
      </c>
      <c r="AW30" s="456"/>
      <c r="AX30" s="447" t="s">
        <v>169</v>
      </c>
      <c r="AY30" s="448"/>
      <c r="AZ30" s="455" t="s">
        <v>141</v>
      </c>
      <c r="BA30" s="456"/>
      <c r="BB30" s="455" t="s">
        <v>142</v>
      </c>
      <c r="BC30" s="456"/>
      <c r="BD30" s="462" t="s">
        <v>143</v>
      </c>
      <c r="BE30" s="463"/>
      <c r="BF30" s="455" t="s">
        <v>144</v>
      </c>
      <c r="BG30" s="456"/>
    </row>
    <row r="31" spans="1:59" x14ac:dyDescent="0.3">
      <c r="A31" s="62">
        <v>1</v>
      </c>
      <c r="B31" s="409" t="s">
        <v>170</v>
      </c>
      <c r="C31" s="410">
        <v>58</v>
      </c>
      <c r="D31" s="411" t="s">
        <v>176</v>
      </c>
      <c r="E31" s="410">
        <v>41</v>
      </c>
      <c r="F31" s="411" t="s">
        <v>182</v>
      </c>
      <c r="G31" s="410">
        <v>17</v>
      </c>
      <c r="H31" s="411" t="s">
        <v>176</v>
      </c>
      <c r="I31" s="410">
        <v>17</v>
      </c>
      <c r="J31" s="411" t="s">
        <v>171</v>
      </c>
      <c r="K31" s="410">
        <v>23</v>
      </c>
      <c r="L31" s="411" t="s">
        <v>344</v>
      </c>
      <c r="M31" s="410">
        <v>2</v>
      </c>
      <c r="N31" s="411" t="s">
        <v>638</v>
      </c>
      <c r="O31" s="410">
        <v>0</v>
      </c>
      <c r="P31" s="411" t="s">
        <v>191</v>
      </c>
      <c r="Q31" s="99">
        <v>235</v>
      </c>
      <c r="R31" s="411" t="s">
        <v>194</v>
      </c>
      <c r="S31" s="410">
        <v>1569</v>
      </c>
      <c r="T31" s="411" t="s">
        <v>199</v>
      </c>
      <c r="U31" s="410">
        <v>1279</v>
      </c>
      <c r="V31" s="411" t="s">
        <v>170</v>
      </c>
      <c r="W31" s="410">
        <v>605</v>
      </c>
      <c r="X31" s="411" t="s">
        <v>177</v>
      </c>
      <c r="Y31" s="410">
        <v>15</v>
      </c>
      <c r="Z31" s="419" t="s">
        <v>3</v>
      </c>
      <c r="AA31" s="410">
        <v>1</v>
      </c>
      <c r="AB31" s="411" t="s">
        <v>170</v>
      </c>
      <c r="AC31" s="410">
        <v>26</v>
      </c>
      <c r="AD31" s="411" t="s">
        <v>183</v>
      </c>
      <c r="AE31" s="410">
        <v>171</v>
      </c>
      <c r="AF31" s="411" t="s">
        <v>194</v>
      </c>
      <c r="AG31" s="410">
        <v>61</v>
      </c>
      <c r="AH31" s="411" t="s">
        <v>220</v>
      </c>
      <c r="AI31" s="410">
        <v>197</v>
      </c>
      <c r="AJ31" s="411" t="s">
        <v>222</v>
      </c>
      <c r="AK31" s="410">
        <v>246</v>
      </c>
      <c r="AL31" s="411" t="s">
        <v>357</v>
      </c>
      <c r="AM31" s="410">
        <v>13</v>
      </c>
      <c r="AN31" s="411" t="s">
        <v>484</v>
      </c>
      <c r="AO31" s="410">
        <v>1</v>
      </c>
      <c r="AP31" s="411" t="s">
        <v>170</v>
      </c>
      <c r="AQ31" s="410">
        <v>552</v>
      </c>
      <c r="AR31" s="411" t="s">
        <v>170</v>
      </c>
      <c r="AS31" s="410">
        <v>344</v>
      </c>
      <c r="AT31" s="411" t="s">
        <v>174</v>
      </c>
      <c r="AU31" s="423">
        <v>1</v>
      </c>
      <c r="AV31" s="411" t="s">
        <v>362</v>
      </c>
      <c r="AW31" s="424">
        <v>5.25</v>
      </c>
      <c r="AX31" s="411" t="s">
        <v>363</v>
      </c>
      <c r="AY31" s="328">
        <v>10.5</v>
      </c>
      <c r="AZ31" s="411" t="s">
        <v>176</v>
      </c>
      <c r="BA31" s="328">
        <v>3.13</v>
      </c>
      <c r="BB31" s="422" t="s">
        <v>243</v>
      </c>
      <c r="BC31" s="425">
        <v>18.38</v>
      </c>
      <c r="BD31" s="411" t="s">
        <v>247</v>
      </c>
      <c r="BE31" s="328">
        <v>1.1299999999999999</v>
      </c>
      <c r="BF31" s="411" t="s">
        <v>237</v>
      </c>
      <c r="BG31" s="52">
        <v>0</v>
      </c>
    </row>
    <row r="32" spans="1:59" x14ac:dyDescent="0.3">
      <c r="A32" s="62">
        <v>2</v>
      </c>
      <c r="B32" s="1" t="s">
        <v>171</v>
      </c>
      <c r="C32" s="9">
        <v>36</v>
      </c>
      <c r="D32" s="412" t="s">
        <v>177</v>
      </c>
      <c r="E32" s="9">
        <v>30</v>
      </c>
      <c r="F32" s="412" t="s">
        <v>340</v>
      </c>
      <c r="G32" s="9">
        <v>8</v>
      </c>
      <c r="H32" s="412" t="s">
        <v>177</v>
      </c>
      <c r="I32" s="9">
        <v>6</v>
      </c>
      <c r="J32" s="412" t="s">
        <v>114</v>
      </c>
      <c r="K32" s="9">
        <v>22</v>
      </c>
      <c r="L32" s="155" t="s">
        <v>68</v>
      </c>
      <c r="M32" s="9">
        <v>2</v>
      </c>
      <c r="N32" s="412" t="s">
        <v>304</v>
      </c>
      <c r="O32" s="9">
        <v>0</v>
      </c>
      <c r="P32" s="412" t="s">
        <v>177</v>
      </c>
      <c r="Q32" s="100">
        <v>94.333333333333329</v>
      </c>
      <c r="R32" s="412" t="s">
        <v>195</v>
      </c>
      <c r="S32" s="9">
        <v>822</v>
      </c>
      <c r="T32" s="412" t="s">
        <v>200</v>
      </c>
      <c r="U32" s="9">
        <v>620</v>
      </c>
      <c r="V32" s="412" t="s">
        <v>204</v>
      </c>
      <c r="W32" s="9">
        <v>314</v>
      </c>
      <c r="X32" s="412" t="s">
        <v>208</v>
      </c>
      <c r="Y32" s="9">
        <v>8</v>
      </c>
      <c r="Z32" s="412" t="s">
        <v>470</v>
      </c>
      <c r="AA32" s="9">
        <v>0</v>
      </c>
      <c r="AB32" s="412" t="s">
        <v>210</v>
      </c>
      <c r="AC32" s="9">
        <v>14</v>
      </c>
      <c r="AD32" s="412" t="s">
        <v>213</v>
      </c>
      <c r="AE32" s="9">
        <v>105</v>
      </c>
      <c r="AF32" s="412" t="s">
        <v>216</v>
      </c>
      <c r="AG32" s="9">
        <v>26</v>
      </c>
      <c r="AH32" s="412" t="s">
        <v>194</v>
      </c>
      <c r="AI32" s="9">
        <v>166</v>
      </c>
      <c r="AJ32" s="412" t="s">
        <v>171</v>
      </c>
      <c r="AK32" s="9">
        <v>60</v>
      </c>
      <c r="AL32" s="155" t="s">
        <v>3</v>
      </c>
      <c r="AM32" s="9">
        <v>3</v>
      </c>
      <c r="AN32" s="412" t="s">
        <v>628</v>
      </c>
      <c r="AO32" s="9">
        <v>0</v>
      </c>
      <c r="AP32" s="412" t="s">
        <v>223</v>
      </c>
      <c r="AQ32" s="9">
        <v>382</v>
      </c>
      <c r="AR32" s="412" t="s">
        <v>226</v>
      </c>
      <c r="AS32" s="9">
        <v>285</v>
      </c>
      <c r="AT32" s="412" t="s">
        <v>228</v>
      </c>
      <c r="AU32" s="89">
        <v>0.436</v>
      </c>
      <c r="AV32" s="408" t="s">
        <v>233</v>
      </c>
      <c r="AW32" s="252">
        <v>9.33</v>
      </c>
      <c r="AX32" s="412" t="s">
        <v>170</v>
      </c>
      <c r="AY32" s="101">
        <v>16.440000000000001</v>
      </c>
      <c r="AZ32" s="412" t="s">
        <v>238</v>
      </c>
      <c r="BA32" s="56">
        <v>7.88</v>
      </c>
      <c r="BB32" s="412" t="s">
        <v>225</v>
      </c>
      <c r="BC32" s="56">
        <v>10.5</v>
      </c>
      <c r="BD32" s="412" t="s">
        <v>248</v>
      </c>
      <c r="BE32" s="56">
        <v>3.02</v>
      </c>
      <c r="BF32" s="408" t="s">
        <v>233</v>
      </c>
      <c r="BG32" s="137">
        <v>0.24</v>
      </c>
    </row>
    <row r="33" spans="1:59" x14ac:dyDescent="0.3">
      <c r="A33" s="62">
        <v>3</v>
      </c>
      <c r="B33" s="1" t="s">
        <v>336</v>
      </c>
      <c r="C33" s="9">
        <v>11</v>
      </c>
      <c r="D33" s="412" t="s">
        <v>368</v>
      </c>
      <c r="E33" s="9">
        <v>3</v>
      </c>
      <c r="F33" s="412" t="s">
        <v>183</v>
      </c>
      <c r="G33" s="9">
        <v>6</v>
      </c>
      <c r="H33" s="412" t="s">
        <v>174</v>
      </c>
      <c r="I33" s="9">
        <v>1</v>
      </c>
      <c r="J33" s="412" t="s">
        <v>336</v>
      </c>
      <c r="K33" s="9">
        <v>4</v>
      </c>
      <c r="L33" s="412" t="s">
        <v>637</v>
      </c>
      <c r="M33" s="9">
        <v>0</v>
      </c>
      <c r="N33" s="412" t="s">
        <v>346</v>
      </c>
      <c r="O33" s="9">
        <v>0</v>
      </c>
      <c r="P33" s="412" t="s">
        <v>347</v>
      </c>
      <c r="Q33" s="100">
        <v>18.333333333333332</v>
      </c>
      <c r="R33" s="412" t="s">
        <v>348</v>
      </c>
      <c r="S33" s="9">
        <v>132</v>
      </c>
      <c r="T33" s="412" t="s">
        <v>336</v>
      </c>
      <c r="U33" s="9">
        <v>93</v>
      </c>
      <c r="V33" s="412" t="s">
        <v>336</v>
      </c>
      <c r="W33" s="9">
        <v>38</v>
      </c>
      <c r="X33" s="245" t="s">
        <v>184</v>
      </c>
      <c r="Y33" s="190">
        <v>2</v>
      </c>
      <c r="Z33" s="412" t="s">
        <v>351</v>
      </c>
      <c r="AA33" s="9">
        <v>0</v>
      </c>
      <c r="AB33" s="412" t="s">
        <v>336</v>
      </c>
      <c r="AC33" s="9">
        <v>1</v>
      </c>
      <c r="AD33" s="412" t="s">
        <v>353</v>
      </c>
      <c r="AE33" s="9">
        <v>35</v>
      </c>
      <c r="AF33" s="412" t="s">
        <v>280</v>
      </c>
      <c r="AG33" s="9">
        <v>3</v>
      </c>
      <c r="AH33" s="412" t="s">
        <v>369</v>
      </c>
      <c r="AI33" s="9">
        <v>38</v>
      </c>
      <c r="AJ33" s="412" t="s">
        <v>334</v>
      </c>
      <c r="AK33" s="9">
        <v>26</v>
      </c>
      <c r="AL33" s="412" t="s">
        <v>629</v>
      </c>
      <c r="AM33" s="9">
        <v>2</v>
      </c>
      <c r="AN33" s="412" t="s">
        <v>483</v>
      </c>
      <c r="AO33" s="9">
        <v>0</v>
      </c>
      <c r="AP33" s="412" t="s">
        <v>359</v>
      </c>
      <c r="AQ33" s="9">
        <v>55</v>
      </c>
      <c r="AR33" s="412" t="s">
        <v>360</v>
      </c>
      <c r="AS33" s="9">
        <v>37</v>
      </c>
      <c r="AT33" s="412" t="s">
        <v>229</v>
      </c>
      <c r="AU33" s="89">
        <v>0.20699999999999999</v>
      </c>
      <c r="AV33" s="412" t="s">
        <v>170</v>
      </c>
      <c r="AW33" s="101">
        <v>10.25</v>
      </c>
      <c r="AX33" s="408" t="s">
        <v>173</v>
      </c>
      <c r="AY33" s="252">
        <v>18.670000000000002</v>
      </c>
      <c r="AZ33" s="412" t="s">
        <v>239</v>
      </c>
      <c r="BA33" s="56">
        <v>12.69</v>
      </c>
      <c r="BB33" s="412" t="s">
        <v>336</v>
      </c>
      <c r="BC33" s="56">
        <v>9.93</v>
      </c>
      <c r="BD33" s="408" t="s">
        <v>173</v>
      </c>
      <c r="BE33" s="253">
        <v>3.67</v>
      </c>
      <c r="BF33" s="412" t="s">
        <v>336</v>
      </c>
      <c r="BG33" s="9">
        <v>0.40899999999999997</v>
      </c>
    </row>
    <row r="34" spans="1:59" x14ac:dyDescent="0.3">
      <c r="A34" s="62">
        <v>4</v>
      </c>
      <c r="B34" s="244" t="s">
        <v>172</v>
      </c>
      <c r="C34" s="190">
        <v>4</v>
      </c>
      <c r="D34" s="245" t="s">
        <v>178</v>
      </c>
      <c r="E34" s="190">
        <v>3</v>
      </c>
      <c r="F34" s="412" t="s">
        <v>341</v>
      </c>
      <c r="G34" s="9">
        <v>2</v>
      </c>
      <c r="H34" s="412" t="s">
        <v>336</v>
      </c>
      <c r="I34" s="9">
        <v>1</v>
      </c>
      <c r="J34" s="245" t="s">
        <v>188</v>
      </c>
      <c r="K34" s="190">
        <v>3</v>
      </c>
      <c r="L34" s="412" t="s">
        <v>345</v>
      </c>
      <c r="M34" s="9">
        <v>0</v>
      </c>
      <c r="N34" s="412" t="s">
        <v>336</v>
      </c>
      <c r="O34" s="9">
        <v>0</v>
      </c>
      <c r="P34" s="408" t="s">
        <v>173</v>
      </c>
      <c r="Q34" s="210">
        <v>6</v>
      </c>
      <c r="R34" s="412" t="s">
        <v>196</v>
      </c>
      <c r="S34" s="9">
        <v>45</v>
      </c>
      <c r="T34" s="408" t="s">
        <v>173</v>
      </c>
      <c r="U34" s="210">
        <v>25</v>
      </c>
      <c r="V34" s="245" t="s">
        <v>205</v>
      </c>
      <c r="W34" s="190">
        <v>13</v>
      </c>
      <c r="X34" s="412" t="s">
        <v>334</v>
      </c>
      <c r="Y34" s="9">
        <v>2</v>
      </c>
      <c r="Z34" s="412" t="s">
        <v>350</v>
      </c>
      <c r="AA34" s="9">
        <v>0</v>
      </c>
      <c r="AB34" s="408" t="s">
        <v>186</v>
      </c>
      <c r="AC34" s="210">
        <v>1</v>
      </c>
      <c r="AD34" s="408" t="s">
        <v>214</v>
      </c>
      <c r="AE34" s="210">
        <v>16</v>
      </c>
      <c r="AF34" s="408" t="s">
        <v>217</v>
      </c>
      <c r="AG34" s="210">
        <v>3</v>
      </c>
      <c r="AH34" s="408" t="s">
        <v>173</v>
      </c>
      <c r="AI34" s="210">
        <v>19</v>
      </c>
      <c r="AJ34" s="408" t="s">
        <v>209</v>
      </c>
      <c r="AK34" s="210">
        <v>8</v>
      </c>
      <c r="AL34" s="412" t="s">
        <v>358</v>
      </c>
      <c r="AM34" s="9">
        <v>1</v>
      </c>
      <c r="AN34" s="412" t="s">
        <v>343</v>
      </c>
      <c r="AO34" s="9">
        <v>0</v>
      </c>
      <c r="AP34" s="245" t="s">
        <v>178</v>
      </c>
      <c r="AQ34" s="190">
        <v>31</v>
      </c>
      <c r="AR34" s="245" t="s">
        <v>172</v>
      </c>
      <c r="AS34" s="190">
        <v>21</v>
      </c>
      <c r="AT34" s="412" t="s">
        <v>336</v>
      </c>
      <c r="AU34" s="89">
        <v>0.2</v>
      </c>
      <c r="AV34" s="412" t="s">
        <v>280</v>
      </c>
      <c r="AW34" s="101">
        <v>14.13</v>
      </c>
      <c r="AX34" s="412" t="s">
        <v>364</v>
      </c>
      <c r="AY34" s="101">
        <v>21</v>
      </c>
      <c r="AZ34" s="412" t="s">
        <v>347</v>
      </c>
      <c r="BA34" s="56">
        <v>13.36</v>
      </c>
      <c r="BB34" s="408" t="s">
        <v>244</v>
      </c>
      <c r="BC34" s="253">
        <v>9.33</v>
      </c>
      <c r="BD34" s="412" t="s">
        <v>334</v>
      </c>
      <c r="BE34" s="56">
        <v>3.98</v>
      </c>
      <c r="BF34" s="412" t="s">
        <v>251</v>
      </c>
      <c r="BG34" s="21">
        <v>0.47299999999999998</v>
      </c>
    </row>
    <row r="35" spans="1:59" x14ac:dyDescent="0.3">
      <c r="A35" s="62">
        <v>5</v>
      </c>
      <c r="B35" s="407" t="s">
        <v>173</v>
      </c>
      <c r="C35" s="210">
        <v>3</v>
      </c>
      <c r="D35" s="408" t="s">
        <v>179</v>
      </c>
      <c r="E35" s="210">
        <v>2</v>
      </c>
      <c r="F35" s="412" t="s">
        <v>630</v>
      </c>
      <c r="G35" s="9">
        <v>1</v>
      </c>
      <c r="H35" s="412" t="s">
        <v>636</v>
      </c>
      <c r="I35" s="9">
        <v>0</v>
      </c>
      <c r="J35" s="245" t="s">
        <v>189</v>
      </c>
      <c r="K35" s="190">
        <v>1</v>
      </c>
      <c r="L35" s="412" t="s">
        <v>343</v>
      </c>
      <c r="M35" s="9">
        <v>0</v>
      </c>
      <c r="N35" s="155" t="s">
        <v>3</v>
      </c>
      <c r="O35" s="9">
        <v>0</v>
      </c>
      <c r="P35" s="412" t="s">
        <v>345</v>
      </c>
      <c r="Q35" s="100">
        <v>2.6666666666666665</v>
      </c>
      <c r="R35" s="245" t="s">
        <v>197</v>
      </c>
      <c r="S35" s="190">
        <v>42</v>
      </c>
      <c r="T35" s="245" t="s">
        <v>201</v>
      </c>
      <c r="U35" s="190">
        <v>24</v>
      </c>
      <c r="V35" s="412" t="s">
        <v>349</v>
      </c>
      <c r="W35" s="9">
        <v>10</v>
      </c>
      <c r="X35" s="412" t="s">
        <v>339</v>
      </c>
      <c r="Y35" s="9">
        <v>0</v>
      </c>
      <c r="Z35" s="420" t="s">
        <v>61</v>
      </c>
      <c r="AA35" s="210">
        <v>0</v>
      </c>
      <c r="AB35" s="412" t="s">
        <v>352</v>
      </c>
      <c r="AC35" s="9">
        <v>0</v>
      </c>
      <c r="AD35" s="245" t="s">
        <v>178</v>
      </c>
      <c r="AE35" s="190">
        <v>16</v>
      </c>
      <c r="AF35" s="412" t="s">
        <v>218</v>
      </c>
      <c r="AG35" s="9">
        <v>2</v>
      </c>
      <c r="AH35" s="245" t="s">
        <v>221</v>
      </c>
      <c r="AI35" s="190">
        <v>18</v>
      </c>
      <c r="AJ35" s="245" t="s">
        <v>221</v>
      </c>
      <c r="AK35" s="190">
        <v>7</v>
      </c>
      <c r="AL35" s="412" t="s">
        <v>345</v>
      </c>
      <c r="AM35" s="9">
        <v>0</v>
      </c>
      <c r="AN35" s="412" t="s">
        <v>334</v>
      </c>
      <c r="AO35" s="9">
        <v>0</v>
      </c>
      <c r="AP35" s="408" t="s">
        <v>209</v>
      </c>
      <c r="AQ35" s="210">
        <v>16</v>
      </c>
      <c r="AR35" s="412" t="s">
        <v>356</v>
      </c>
      <c r="AS35" s="9">
        <v>8</v>
      </c>
      <c r="AT35" s="412" t="s">
        <v>629</v>
      </c>
      <c r="AU35" s="89">
        <v>0</v>
      </c>
      <c r="AV35" s="412" t="s">
        <v>335</v>
      </c>
      <c r="AW35" s="101">
        <v>21</v>
      </c>
      <c r="AX35" s="412" t="s">
        <v>229</v>
      </c>
      <c r="AY35" s="101">
        <v>28.35</v>
      </c>
      <c r="AZ35" s="408" t="s">
        <v>240</v>
      </c>
      <c r="BA35" s="253">
        <v>18.670000000000002</v>
      </c>
      <c r="BB35" s="412" t="s">
        <v>245</v>
      </c>
      <c r="BC35" s="56">
        <v>7.33</v>
      </c>
      <c r="BD35" s="412" t="s">
        <v>239</v>
      </c>
      <c r="BE35" s="56">
        <v>5.14</v>
      </c>
      <c r="BF35" s="412" t="s">
        <v>250</v>
      </c>
      <c r="BG35" s="21">
        <v>0.50600000000000001</v>
      </c>
    </row>
    <row r="36" spans="1:59" x14ac:dyDescent="0.3">
      <c r="A36" s="62">
        <v>6</v>
      </c>
      <c r="B36" s="1" t="s">
        <v>349</v>
      </c>
      <c r="C36" s="9">
        <v>2</v>
      </c>
      <c r="D36" s="412" t="s">
        <v>180</v>
      </c>
      <c r="E36" s="9">
        <v>1</v>
      </c>
      <c r="F36" s="408" t="s">
        <v>158</v>
      </c>
      <c r="G36" s="210">
        <v>1</v>
      </c>
      <c r="H36" s="412" t="s">
        <v>342</v>
      </c>
      <c r="I36" s="9">
        <v>0</v>
      </c>
      <c r="J36" s="412" t="s">
        <v>628</v>
      </c>
      <c r="K36" s="9">
        <v>0</v>
      </c>
      <c r="L36" s="155" t="s">
        <v>3</v>
      </c>
      <c r="M36" s="9">
        <v>0</v>
      </c>
      <c r="N36" s="420" t="s">
        <v>61</v>
      </c>
      <c r="O36" s="210">
        <v>0</v>
      </c>
      <c r="P36" s="412" t="s">
        <v>192</v>
      </c>
      <c r="Q36" s="100">
        <v>2.6666666666666665</v>
      </c>
      <c r="R36" s="408" t="s">
        <v>345</v>
      </c>
      <c r="S36" s="210">
        <v>27</v>
      </c>
      <c r="T36" s="412" t="s">
        <v>342</v>
      </c>
      <c r="U36" s="9">
        <v>18</v>
      </c>
      <c r="V36" s="408" t="s">
        <v>173</v>
      </c>
      <c r="W36" s="210">
        <v>6</v>
      </c>
      <c r="X36" s="412" t="s">
        <v>185</v>
      </c>
      <c r="Y36" s="9">
        <v>0</v>
      </c>
      <c r="Z36" s="155" t="s">
        <v>68</v>
      </c>
      <c r="AA36" s="9">
        <v>0</v>
      </c>
      <c r="AB36" s="412" t="s">
        <v>180</v>
      </c>
      <c r="AC36" s="9">
        <v>0</v>
      </c>
      <c r="AD36" s="412" t="s">
        <v>339</v>
      </c>
      <c r="AE36" s="9">
        <v>9</v>
      </c>
      <c r="AF36" s="245" t="s">
        <v>178</v>
      </c>
      <c r="AG36" s="190">
        <v>2</v>
      </c>
      <c r="AH36" s="412" t="s">
        <v>355</v>
      </c>
      <c r="AI36" s="9">
        <v>9</v>
      </c>
      <c r="AJ36" s="412" t="s">
        <v>174</v>
      </c>
      <c r="AK36" s="9">
        <v>4</v>
      </c>
      <c r="AL36" s="412" t="s">
        <v>343</v>
      </c>
      <c r="AM36" s="9">
        <v>0</v>
      </c>
      <c r="AN36" s="420" t="s">
        <v>61</v>
      </c>
      <c r="AO36" s="210">
        <v>0</v>
      </c>
      <c r="AP36" s="245" t="s">
        <v>224</v>
      </c>
      <c r="AQ36" s="190">
        <v>13</v>
      </c>
      <c r="AR36" s="408" t="s">
        <v>209</v>
      </c>
      <c r="AS36" s="210">
        <v>8</v>
      </c>
      <c r="AT36" s="412" t="s">
        <v>361</v>
      </c>
      <c r="AU36" s="89">
        <v>0</v>
      </c>
      <c r="AV36" s="412" t="s">
        <v>234</v>
      </c>
      <c r="AW36" s="101">
        <v>21.15</v>
      </c>
      <c r="AX36" s="412" t="s">
        <v>333</v>
      </c>
      <c r="AY36" s="56">
        <v>31.5</v>
      </c>
      <c r="AZ36" s="412" t="s">
        <v>365</v>
      </c>
      <c r="BA36" s="56">
        <v>23.63</v>
      </c>
      <c r="BB36" s="412" t="s">
        <v>246</v>
      </c>
      <c r="BC36" s="56">
        <v>4.45</v>
      </c>
      <c r="BD36" s="412" t="s">
        <v>366</v>
      </c>
      <c r="BE36" s="56">
        <v>7.13</v>
      </c>
      <c r="BF36" s="245" t="s">
        <v>188</v>
      </c>
      <c r="BG36" s="193">
        <v>0.54200000000000004</v>
      </c>
    </row>
    <row r="37" spans="1:59" s="215" customFormat="1" x14ac:dyDescent="0.3">
      <c r="A37" s="215">
        <v>7</v>
      </c>
      <c r="B37" s="1" t="s">
        <v>174</v>
      </c>
      <c r="C37" s="9">
        <v>2</v>
      </c>
      <c r="D37" s="245" t="s">
        <v>181</v>
      </c>
      <c r="E37" s="190">
        <v>1</v>
      </c>
      <c r="F37" s="245" t="s">
        <v>159</v>
      </c>
      <c r="G37" s="190">
        <v>1</v>
      </c>
      <c r="H37" s="408" t="s">
        <v>186</v>
      </c>
      <c r="I37" s="210">
        <v>0</v>
      </c>
      <c r="J37" s="412" t="s">
        <v>339</v>
      </c>
      <c r="K37" s="9">
        <v>0</v>
      </c>
      <c r="L37" s="420" t="s">
        <v>61</v>
      </c>
      <c r="M37" s="210">
        <v>0</v>
      </c>
      <c r="N37" s="155" t="s">
        <v>68</v>
      </c>
      <c r="O37" s="9">
        <v>0</v>
      </c>
      <c r="P37" s="245" t="s">
        <v>178</v>
      </c>
      <c r="Q37" s="247">
        <v>2.6666666666666665</v>
      </c>
      <c r="R37" s="245" t="s">
        <v>198</v>
      </c>
      <c r="S37" s="190">
        <v>19</v>
      </c>
      <c r="T37" s="245" t="s">
        <v>202</v>
      </c>
      <c r="U37" s="190">
        <v>10</v>
      </c>
      <c r="V37" s="245" t="s">
        <v>206</v>
      </c>
      <c r="W37" s="190">
        <v>6</v>
      </c>
      <c r="X37" s="408" t="s">
        <v>209</v>
      </c>
      <c r="Y37" s="210">
        <v>0</v>
      </c>
      <c r="Z37" s="421" t="s">
        <v>69</v>
      </c>
      <c r="AA37" s="190">
        <v>0</v>
      </c>
      <c r="AB37" s="245" t="s">
        <v>211</v>
      </c>
      <c r="AC37" s="190">
        <v>0</v>
      </c>
      <c r="AD37" s="245" t="s">
        <v>212</v>
      </c>
      <c r="AE37" s="190">
        <v>8</v>
      </c>
      <c r="AF37" s="412" t="s">
        <v>642</v>
      </c>
      <c r="AG37" s="9">
        <v>1</v>
      </c>
      <c r="AH37" s="245" t="s">
        <v>219</v>
      </c>
      <c r="AI37" s="190">
        <v>9</v>
      </c>
      <c r="AJ37" s="412" t="s">
        <v>356</v>
      </c>
      <c r="AK37" s="9">
        <v>1</v>
      </c>
      <c r="AL37" s="420" t="s">
        <v>61</v>
      </c>
      <c r="AM37" s="210">
        <v>0</v>
      </c>
      <c r="AN37" s="155" t="s">
        <v>68</v>
      </c>
      <c r="AO37" s="9">
        <v>0</v>
      </c>
      <c r="AP37" s="412" t="s">
        <v>339</v>
      </c>
      <c r="AQ37" s="9">
        <v>12</v>
      </c>
      <c r="AR37" s="245" t="s">
        <v>227</v>
      </c>
      <c r="AS37" s="190">
        <v>8</v>
      </c>
      <c r="AT37" s="408" t="s">
        <v>230</v>
      </c>
      <c r="AU37" s="235">
        <v>0</v>
      </c>
      <c r="AV37" s="245" t="s">
        <v>235</v>
      </c>
      <c r="AW37" s="249">
        <v>55.13</v>
      </c>
      <c r="AX37" s="245" t="s">
        <v>236</v>
      </c>
      <c r="AY37" s="249">
        <v>81.38</v>
      </c>
      <c r="AZ37" s="245" t="s">
        <v>241</v>
      </c>
      <c r="BA37" s="195">
        <v>42</v>
      </c>
      <c r="BB37" s="412" t="s">
        <v>345</v>
      </c>
      <c r="BC37" s="56">
        <v>2.63</v>
      </c>
      <c r="BD37" s="245" t="s">
        <v>172</v>
      </c>
      <c r="BE37" s="195">
        <v>10.88</v>
      </c>
      <c r="BF37" s="412" t="s">
        <v>345</v>
      </c>
      <c r="BG37" s="21">
        <v>0.55600000000000005</v>
      </c>
    </row>
    <row r="38" spans="1:59" s="215" customFormat="1" x14ac:dyDescent="0.3">
      <c r="A38" s="215">
        <v>8</v>
      </c>
      <c r="B38" s="296" t="s">
        <v>630</v>
      </c>
      <c r="C38" s="75">
        <v>1</v>
      </c>
      <c r="D38" s="412" t="s">
        <v>635</v>
      </c>
      <c r="E38" s="9">
        <v>0</v>
      </c>
      <c r="F38" s="412" t="s">
        <v>168</v>
      </c>
      <c r="G38" s="9">
        <v>0</v>
      </c>
      <c r="H38" s="245" t="s">
        <v>172</v>
      </c>
      <c r="I38" s="190">
        <v>0</v>
      </c>
      <c r="J38" s="412" t="s">
        <v>190</v>
      </c>
      <c r="K38" s="9">
        <v>0</v>
      </c>
      <c r="L38" s="421" t="s">
        <v>69</v>
      </c>
      <c r="M38" s="190">
        <v>0</v>
      </c>
      <c r="N38" s="421" t="s">
        <v>69</v>
      </c>
      <c r="O38" s="190">
        <v>0</v>
      </c>
      <c r="P38" s="245" t="s">
        <v>193</v>
      </c>
      <c r="Q38" s="190">
        <v>1</v>
      </c>
      <c r="R38" s="412" t="s">
        <v>174</v>
      </c>
      <c r="S38" s="9">
        <v>14</v>
      </c>
      <c r="T38" s="412" t="s">
        <v>203</v>
      </c>
      <c r="U38" s="9">
        <v>9</v>
      </c>
      <c r="V38" s="412" t="s">
        <v>207</v>
      </c>
      <c r="W38" s="9">
        <v>0</v>
      </c>
      <c r="X38" s="245" t="s">
        <v>189</v>
      </c>
      <c r="Y38" s="190">
        <v>0</v>
      </c>
      <c r="Z38" s="421" t="s">
        <v>160</v>
      </c>
      <c r="AA38" s="190">
        <v>0</v>
      </c>
      <c r="AB38" s="245" t="s">
        <v>212</v>
      </c>
      <c r="AC38" s="190">
        <v>0</v>
      </c>
      <c r="AD38" s="412" t="s">
        <v>628</v>
      </c>
      <c r="AE38" s="9">
        <v>4</v>
      </c>
      <c r="AF38" s="245" t="s">
        <v>219</v>
      </c>
      <c r="AG38" s="190">
        <v>1</v>
      </c>
      <c r="AH38" s="412" t="s">
        <v>174</v>
      </c>
      <c r="AI38" s="9">
        <v>5</v>
      </c>
      <c r="AJ38" s="245" t="s">
        <v>219</v>
      </c>
      <c r="AK38" s="190">
        <v>0</v>
      </c>
      <c r="AL38" s="421" t="s">
        <v>69</v>
      </c>
      <c r="AM38" s="190">
        <v>0</v>
      </c>
      <c r="AN38" s="421" t="s">
        <v>69</v>
      </c>
      <c r="AO38" s="190">
        <v>0</v>
      </c>
      <c r="AP38" s="412" t="s">
        <v>641</v>
      </c>
      <c r="AQ38" s="9">
        <v>4</v>
      </c>
      <c r="AR38" s="412" t="s">
        <v>628</v>
      </c>
      <c r="AS38" s="9">
        <v>4</v>
      </c>
      <c r="AT38" s="245" t="s">
        <v>231</v>
      </c>
      <c r="AU38" s="248">
        <v>0</v>
      </c>
      <c r="AV38" s="245" t="s">
        <v>189</v>
      </c>
      <c r="AW38" s="249">
        <v>56</v>
      </c>
      <c r="AX38" s="245" t="s">
        <v>227</v>
      </c>
      <c r="AY38" s="249">
        <v>91</v>
      </c>
      <c r="AZ38" s="245" t="s">
        <v>242</v>
      </c>
      <c r="BA38" s="195">
        <v>56</v>
      </c>
      <c r="BB38" s="245" t="s">
        <v>227</v>
      </c>
      <c r="BC38" s="195">
        <v>0</v>
      </c>
      <c r="BD38" s="245" t="s">
        <v>249</v>
      </c>
      <c r="BE38" s="195">
        <v>14</v>
      </c>
      <c r="BF38" s="245" t="s">
        <v>242</v>
      </c>
      <c r="BG38" s="193">
        <v>0.6</v>
      </c>
    </row>
    <row r="39" spans="1:59" s="385" customFormat="1" ht="17.25" thickBot="1" x14ac:dyDescent="0.35">
      <c r="A39" s="385">
        <v>9</v>
      </c>
      <c r="B39" s="244" t="s">
        <v>175</v>
      </c>
      <c r="C39" s="190">
        <v>1</v>
      </c>
      <c r="D39" s="18" t="s">
        <v>634</v>
      </c>
      <c r="E39" s="75">
        <v>0</v>
      </c>
      <c r="F39" s="245" t="s">
        <v>160</v>
      </c>
      <c r="G39" s="190">
        <v>0</v>
      </c>
      <c r="H39" s="245" t="s">
        <v>187</v>
      </c>
      <c r="I39" s="190">
        <v>0</v>
      </c>
      <c r="J39" s="408" t="s">
        <v>173</v>
      </c>
      <c r="K39" s="210">
        <v>0</v>
      </c>
      <c r="L39" s="421" t="s">
        <v>160</v>
      </c>
      <c r="M39" s="190">
        <v>0</v>
      </c>
      <c r="N39" s="421" t="s">
        <v>160</v>
      </c>
      <c r="O39" s="190">
        <v>0</v>
      </c>
      <c r="P39" s="18" t="s">
        <v>638</v>
      </c>
      <c r="Q39" s="75">
        <v>0</v>
      </c>
      <c r="R39" s="18" t="s">
        <v>639</v>
      </c>
      <c r="S39" s="75">
        <v>4</v>
      </c>
      <c r="T39" s="18" t="s">
        <v>630</v>
      </c>
      <c r="U39" s="75">
        <v>0</v>
      </c>
      <c r="V39" s="18" t="s">
        <v>629</v>
      </c>
      <c r="W39" s="75">
        <v>0</v>
      </c>
      <c r="X39" s="18" t="s">
        <v>640</v>
      </c>
      <c r="Y39" s="75">
        <v>0</v>
      </c>
      <c r="Z39" s="229" t="s">
        <v>641</v>
      </c>
      <c r="AA39" s="75">
        <v>0</v>
      </c>
      <c r="AB39" s="18" t="s">
        <v>630</v>
      </c>
      <c r="AC39" s="75">
        <v>0</v>
      </c>
      <c r="AD39" s="412" t="s">
        <v>174</v>
      </c>
      <c r="AE39" s="9">
        <v>3</v>
      </c>
      <c r="AF39" s="412" t="s">
        <v>304</v>
      </c>
      <c r="AG39" s="9">
        <v>0</v>
      </c>
      <c r="AH39" s="18" t="s">
        <v>628</v>
      </c>
      <c r="AI39" s="75">
        <v>4</v>
      </c>
      <c r="AJ39" s="18" t="s">
        <v>643</v>
      </c>
      <c r="AK39" s="75">
        <v>0</v>
      </c>
      <c r="AL39" s="421" t="s">
        <v>160</v>
      </c>
      <c r="AM39" s="190">
        <v>0</v>
      </c>
      <c r="AN39" s="421" t="s">
        <v>160</v>
      </c>
      <c r="AO39" s="190">
        <v>0</v>
      </c>
      <c r="AP39" s="412" t="s">
        <v>225</v>
      </c>
      <c r="AQ39" s="9">
        <v>4</v>
      </c>
      <c r="AR39" s="412" t="s">
        <v>174</v>
      </c>
      <c r="AS39" s="9">
        <v>2</v>
      </c>
      <c r="AT39" s="245" t="s">
        <v>232</v>
      </c>
      <c r="AU39" s="248">
        <v>0</v>
      </c>
      <c r="AV39" s="18" t="s">
        <v>644</v>
      </c>
      <c r="AW39" s="324">
        <v>0</v>
      </c>
      <c r="AX39" s="18" t="s">
        <v>629</v>
      </c>
      <c r="AY39" s="324">
        <v>0</v>
      </c>
      <c r="AZ39" s="18" t="s">
        <v>644</v>
      </c>
      <c r="BA39" s="127">
        <v>0</v>
      </c>
      <c r="BB39" s="18" t="s">
        <v>645</v>
      </c>
      <c r="BC39" s="127">
        <v>0</v>
      </c>
      <c r="BD39" s="18" t="s">
        <v>641</v>
      </c>
      <c r="BE39" s="127">
        <v>0</v>
      </c>
      <c r="BF39" s="18" t="s">
        <v>629</v>
      </c>
      <c r="BG39" s="149">
        <v>0</v>
      </c>
    </row>
    <row r="40" spans="1:59" ht="17.25" thickBot="1" x14ac:dyDescent="0.35">
      <c r="B40" s="413"/>
      <c r="C40" s="415"/>
      <c r="D40" s="414"/>
      <c r="E40" s="415">
        <f>SUM(E31:E39)</f>
        <v>81</v>
      </c>
      <c r="F40" s="414">
        <f t="shared" ref="F40:AK40" si="46">SUM(F31:F39)</f>
        <v>0</v>
      </c>
      <c r="G40" s="415">
        <f t="shared" si="46"/>
        <v>36</v>
      </c>
      <c r="H40" s="414">
        <f t="shared" si="46"/>
        <v>0</v>
      </c>
      <c r="I40" s="415">
        <f t="shared" si="46"/>
        <v>25</v>
      </c>
      <c r="J40" s="414">
        <f t="shared" si="46"/>
        <v>0</v>
      </c>
      <c r="K40" s="415">
        <f t="shared" si="46"/>
        <v>53</v>
      </c>
      <c r="L40" s="414">
        <f t="shared" si="46"/>
        <v>0</v>
      </c>
      <c r="M40" s="415">
        <f t="shared" si="46"/>
        <v>4</v>
      </c>
      <c r="N40" s="414">
        <f t="shared" si="46"/>
        <v>0</v>
      </c>
      <c r="O40" s="415">
        <f t="shared" si="46"/>
        <v>0</v>
      </c>
      <c r="P40" s="414">
        <f t="shared" si="46"/>
        <v>0</v>
      </c>
      <c r="Q40" s="467">
        <f t="shared" si="46"/>
        <v>362.66666666666669</v>
      </c>
      <c r="R40" s="414">
        <f t="shared" si="46"/>
        <v>0</v>
      </c>
      <c r="S40" s="415">
        <f t="shared" si="46"/>
        <v>2674</v>
      </c>
      <c r="T40" s="414">
        <f t="shared" si="46"/>
        <v>0</v>
      </c>
      <c r="U40" s="415">
        <f t="shared" si="46"/>
        <v>2078</v>
      </c>
      <c r="V40" s="414">
        <f t="shared" si="46"/>
        <v>0</v>
      </c>
      <c r="W40" s="415">
        <f t="shared" si="46"/>
        <v>992</v>
      </c>
      <c r="X40" s="414">
        <f t="shared" si="46"/>
        <v>0</v>
      </c>
      <c r="Y40" s="415">
        <f t="shared" si="46"/>
        <v>27</v>
      </c>
      <c r="Z40" s="414">
        <f t="shared" si="46"/>
        <v>0</v>
      </c>
      <c r="AA40" s="415">
        <f t="shared" si="46"/>
        <v>1</v>
      </c>
      <c r="AB40" s="414">
        <f t="shared" si="46"/>
        <v>0</v>
      </c>
      <c r="AC40" s="415">
        <f t="shared" si="46"/>
        <v>42</v>
      </c>
      <c r="AD40" s="414">
        <f>SUM(AD31:AD39)</f>
        <v>0</v>
      </c>
      <c r="AE40" s="415">
        <f>SUM(AE31:AE39)</f>
        <v>367</v>
      </c>
      <c r="AF40" s="414">
        <f>SUM(AF31:AF39)</f>
        <v>0</v>
      </c>
      <c r="AG40" s="415">
        <f>SUM(AG31:AG39)</f>
        <v>99</v>
      </c>
      <c r="AH40" s="414">
        <f t="shared" si="46"/>
        <v>0</v>
      </c>
      <c r="AI40" s="415">
        <f t="shared" si="46"/>
        <v>465</v>
      </c>
      <c r="AJ40" s="414">
        <f t="shared" si="46"/>
        <v>0</v>
      </c>
      <c r="AK40" s="415">
        <f t="shared" si="46"/>
        <v>352</v>
      </c>
      <c r="AL40" s="414">
        <f t="shared" ref="AL40:AS40" si="47">SUM(AL31:AL39)</f>
        <v>0</v>
      </c>
      <c r="AM40" s="415">
        <f t="shared" si="47"/>
        <v>19</v>
      </c>
      <c r="AN40" s="414">
        <f t="shared" si="47"/>
        <v>0</v>
      </c>
      <c r="AO40" s="415">
        <f t="shared" si="47"/>
        <v>1</v>
      </c>
      <c r="AP40" s="414">
        <f t="shared" si="47"/>
        <v>0</v>
      </c>
      <c r="AQ40" s="415">
        <f t="shared" si="47"/>
        <v>1069</v>
      </c>
      <c r="AR40" s="414">
        <f t="shared" si="47"/>
        <v>0</v>
      </c>
      <c r="AS40" s="415">
        <f t="shared" si="47"/>
        <v>717</v>
      </c>
      <c r="AT40" s="414"/>
      <c r="AU40" s="24"/>
      <c r="AV40" s="414"/>
      <c r="AW40" s="468"/>
      <c r="AX40" s="414"/>
      <c r="AY40" s="469"/>
      <c r="AZ40" s="414"/>
      <c r="BA40" s="468"/>
      <c r="BB40" s="414"/>
      <c r="BC40" s="468"/>
      <c r="BD40" s="414"/>
      <c r="BE40" s="415"/>
      <c r="BF40" s="414"/>
      <c r="BG40" s="415"/>
    </row>
    <row r="41" spans="1:59" ht="17.25" thickBot="1" x14ac:dyDescent="0.35"/>
    <row r="42" spans="1:59" ht="17.25" thickBot="1" x14ac:dyDescent="0.35">
      <c r="A42" s="464" t="s">
        <v>620</v>
      </c>
      <c r="B42" s="465"/>
      <c r="C42" s="465"/>
      <c r="D42" s="465"/>
      <c r="E42" s="465"/>
      <c r="F42" s="465"/>
      <c r="G42" s="465"/>
      <c r="H42" s="465"/>
      <c r="I42" s="465"/>
      <c r="J42" s="465"/>
      <c r="K42" s="465"/>
      <c r="L42" s="465"/>
      <c r="M42" s="465"/>
      <c r="N42" s="465"/>
      <c r="O42" s="465"/>
      <c r="P42" s="465"/>
      <c r="Q42" s="465"/>
      <c r="R42" s="465"/>
      <c r="S42" s="465"/>
      <c r="T42" s="465"/>
      <c r="U42" s="465"/>
      <c r="V42" s="465"/>
      <c r="W42" s="465"/>
      <c r="X42" s="465"/>
      <c r="Y42" s="465"/>
      <c r="Z42" s="465"/>
      <c r="AA42" s="465"/>
      <c r="AB42" s="465"/>
      <c r="AC42" s="466"/>
    </row>
    <row r="43" spans="1:59" ht="17.25" thickBot="1" x14ac:dyDescent="0.35">
      <c r="A43" s="362" t="s">
        <v>11</v>
      </c>
      <c r="B43" s="386" t="s">
        <v>127</v>
      </c>
      <c r="C43" s="81" t="s">
        <v>128</v>
      </c>
      <c r="D43" s="391" t="s">
        <v>129</v>
      </c>
      <c r="E43" s="81" t="s">
        <v>130</v>
      </c>
      <c r="F43" s="81" t="s">
        <v>131</v>
      </c>
      <c r="G43" s="81" t="s">
        <v>132</v>
      </c>
      <c r="H43" s="81" t="s">
        <v>146</v>
      </c>
      <c r="I43" s="81" t="s">
        <v>133</v>
      </c>
      <c r="J43" s="81" t="s">
        <v>134</v>
      </c>
      <c r="K43" s="81" t="s">
        <v>16</v>
      </c>
      <c r="L43" s="81" t="s">
        <v>136</v>
      </c>
      <c r="M43" s="81" t="s">
        <v>148</v>
      </c>
      <c r="N43" s="81" t="s">
        <v>91</v>
      </c>
      <c r="O43" s="82" t="s">
        <v>92</v>
      </c>
      <c r="P43" s="391" t="s">
        <v>29</v>
      </c>
      <c r="Q43" s="391" t="s">
        <v>94</v>
      </c>
      <c r="R43" s="391" t="s">
        <v>631</v>
      </c>
      <c r="S43" s="391" t="s">
        <v>31</v>
      </c>
      <c r="T43" s="391" t="s">
        <v>152</v>
      </c>
      <c r="U43" s="391" t="s">
        <v>153</v>
      </c>
      <c r="V43" s="81" t="s">
        <v>154</v>
      </c>
      <c r="W43" s="388" t="s">
        <v>162</v>
      </c>
      <c r="X43" s="391" t="s">
        <v>156</v>
      </c>
      <c r="Y43" s="391" t="s">
        <v>140</v>
      </c>
      <c r="Z43" s="391" t="s">
        <v>141</v>
      </c>
      <c r="AA43" s="391" t="s">
        <v>142</v>
      </c>
      <c r="AB43" s="83" t="s">
        <v>143</v>
      </c>
      <c r="AC43" s="387" t="s">
        <v>144</v>
      </c>
      <c r="AD43" s="387"/>
    </row>
    <row r="44" spans="1:59" s="385" customFormat="1" x14ac:dyDescent="0.3">
      <c r="A44" s="98" t="s">
        <v>628</v>
      </c>
      <c r="B44" s="1">
        <v>1</v>
      </c>
      <c r="C44" s="384"/>
      <c r="D44" s="384">
        <v>1</v>
      </c>
      <c r="E44" s="384"/>
      <c r="F44" s="384"/>
      <c r="G44" s="384"/>
      <c r="H44" s="384"/>
      <c r="I44" s="84">
        <v>0</v>
      </c>
      <c r="J44" s="384">
        <v>4</v>
      </c>
      <c r="K44" s="384">
        <v>0</v>
      </c>
      <c r="L44" s="384">
        <v>0</v>
      </c>
      <c r="M44" s="384">
        <v>0</v>
      </c>
      <c r="N44" s="384">
        <v>0</v>
      </c>
      <c r="O44" s="384">
        <v>0</v>
      </c>
      <c r="P44" s="384">
        <v>3</v>
      </c>
      <c r="Q44" s="384">
        <v>1</v>
      </c>
      <c r="R44" s="384">
        <f>P44+Q44</f>
        <v>4</v>
      </c>
      <c r="S44" s="384">
        <v>0</v>
      </c>
      <c r="T44" s="384">
        <v>2</v>
      </c>
      <c r="U44" s="384">
        <v>0</v>
      </c>
      <c r="V44" s="384">
        <v>4</v>
      </c>
      <c r="W44" s="9">
        <v>4</v>
      </c>
      <c r="X44" s="88" t="e">
        <f t="shared" ref="X44" si="48">F44/(F44+G44)</f>
        <v>#DIV/0!</v>
      </c>
      <c r="Y44" s="88" t="e">
        <f t="shared" ref="Y44" si="49">G44/(G44+H44)</f>
        <v>#DIV/0!</v>
      </c>
      <c r="Z44" s="88" t="e">
        <f t="shared" ref="Z44" si="50">H44/(H44+I44)</f>
        <v>#DIV/0!</v>
      </c>
      <c r="AA44" s="88">
        <f t="shared" ref="AA44" si="51">I44/(I44+J44)</f>
        <v>0</v>
      </c>
      <c r="AB44" s="88">
        <f t="shared" ref="AB44" si="52">J44/(J44+K44)</f>
        <v>1</v>
      </c>
      <c r="AC44" s="88" t="e">
        <f t="shared" ref="AC44" si="53">K44/(K44+L44)</f>
        <v>#DIV/0!</v>
      </c>
      <c r="AD44" s="58" t="s">
        <v>639</v>
      </c>
    </row>
    <row r="45" spans="1:59" x14ac:dyDescent="0.3">
      <c r="A45" s="98"/>
      <c r="B45" s="1"/>
      <c r="C45" s="384"/>
      <c r="D45" s="384"/>
      <c r="E45" s="384"/>
      <c r="F45" s="384"/>
      <c r="G45" s="384"/>
      <c r="H45" s="384"/>
      <c r="I45" s="84"/>
      <c r="J45" s="384"/>
      <c r="K45" s="384"/>
      <c r="L45" s="384"/>
      <c r="M45" s="384"/>
      <c r="N45" s="384"/>
      <c r="O45" s="384"/>
      <c r="P45" s="384"/>
      <c r="Q45" s="384"/>
      <c r="R45" s="384"/>
      <c r="S45" s="384"/>
      <c r="T45" s="384"/>
      <c r="U45" s="384"/>
      <c r="V45" s="384"/>
      <c r="W45" s="9"/>
      <c r="X45" s="88"/>
      <c r="Y45" s="88"/>
      <c r="Z45" s="88"/>
      <c r="AA45" s="88"/>
      <c r="AB45" s="88"/>
      <c r="AC45" s="88"/>
      <c r="AD45" s="5"/>
    </row>
    <row r="46" spans="1:59" x14ac:dyDescent="0.3">
      <c r="A46" s="1"/>
      <c r="B46" s="1"/>
      <c r="C46" s="384"/>
      <c r="D46" s="384"/>
      <c r="E46" s="384"/>
      <c r="F46" s="384"/>
      <c r="G46" s="384"/>
      <c r="H46" s="384"/>
      <c r="I46" s="384"/>
      <c r="J46" s="384"/>
      <c r="K46" s="384"/>
      <c r="L46" s="384"/>
      <c r="M46" s="384"/>
      <c r="N46" s="384"/>
      <c r="O46" s="384"/>
      <c r="P46" s="384"/>
      <c r="Q46" s="384"/>
      <c r="R46" s="384"/>
      <c r="S46" s="384"/>
      <c r="T46" s="384"/>
      <c r="U46" s="384"/>
      <c r="V46" s="384"/>
      <c r="W46" s="9"/>
      <c r="X46" s="88"/>
      <c r="Y46" s="94"/>
      <c r="Z46" s="94"/>
      <c r="AA46" s="94"/>
      <c r="AB46" s="94"/>
      <c r="AC46" s="88"/>
      <c r="AD46" s="5"/>
    </row>
    <row r="47" spans="1:59" x14ac:dyDescent="0.3">
      <c r="A47" s="1"/>
      <c r="B47" s="1"/>
      <c r="C47" s="384"/>
      <c r="D47" s="384"/>
      <c r="E47" s="384"/>
      <c r="F47" s="384"/>
      <c r="G47" s="384"/>
      <c r="H47" s="384"/>
      <c r="I47" s="84"/>
      <c r="J47" s="384"/>
      <c r="K47" s="384"/>
      <c r="L47" s="181"/>
      <c r="M47" s="384"/>
      <c r="N47" s="384"/>
      <c r="O47" s="384"/>
      <c r="P47" s="384"/>
      <c r="Q47" s="384"/>
      <c r="R47" s="384"/>
      <c r="S47" s="384"/>
      <c r="T47" s="384"/>
      <c r="U47" s="384"/>
      <c r="V47" s="384"/>
      <c r="W47" s="9"/>
      <c r="X47" s="88"/>
      <c r="Y47" s="94"/>
      <c r="Z47" s="94"/>
      <c r="AA47" s="94"/>
      <c r="AB47" s="94"/>
      <c r="AC47" s="88"/>
      <c r="AD47" s="31"/>
    </row>
    <row r="48" spans="1:59" x14ac:dyDescent="0.3">
      <c r="A48" s="98" t="s">
        <v>52</v>
      </c>
      <c r="B48" s="1">
        <v>3</v>
      </c>
      <c r="C48" s="384">
        <v>2</v>
      </c>
      <c r="D48" s="384">
        <v>1</v>
      </c>
      <c r="E48" s="384"/>
      <c r="F48" s="384">
        <v>2</v>
      </c>
      <c r="G48" s="384"/>
      <c r="H48" s="384"/>
      <c r="I48" s="84">
        <v>7.666666666666667</v>
      </c>
      <c r="J48" s="384">
        <v>69</v>
      </c>
      <c r="K48" s="384">
        <v>66</v>
      </c>
      <c r="L48" s="384">
        <v>40</v>
      </c>
      <c r="M48" s="384">
        <v>5</v>
      </c>
      <c r="N48" s="384">
        <v>0</v>
      </c>
      <c r="O48" s="384">
        <v>1</v>
      </c>
      <c r="P48" s="384">
        <v>10</v>
      </c>
      <c r="Q48" s="384">
        <v>2</v>
      </c>
      <c r="R48" s="384">
        <f t="shared" ref="R48:R50" si="54">P48+Q48</f>
        <v>12</v>
      </c>
      <c r="S48" s="384">
        <v>5</v>
      </c>
      <c r="T48" s="384">
        <v>0</v>
      </c>
      <c r="U48" s="384">
        <v>0</v>
      </c>
      <c r="V48" s="384">
        <v>45</v>
      </c>
      <c r="W48" s="9">
        <v>37</v>
      </c>
      <c r="X48" s="88">
        <f>F48/(F48+G48)</f>
        <v>1</v>
      </c>
      <c r="Y48" s="94">
        <f t="shared" ref="Y48" si="55">(W48*7)/J48</f>
        <v>3.7536231884057969</v>
      </c>
      <c r="Z48" s="94">
        <f t="shared" ref="Z48" si="56">((Q48+R48)/J48)*7</f>
        <v>1.4202898550724639</v>
      </c>
      <c r="AA48" s="94">
        <f t="shared" ref="AA48" si="57">(S48/J48)*7</f>
        <v>0.50724637681159424</v>
      </c>
      <c r="AB48" s="94">
        <f>(M48+N48+Q48)/J48</f>
        <v>0.10144927536231885</v>
      </c>
      <c r="AC48" s="88">
        <f>(M48+N48)/L48</f>
        <v>0.125</v>
      </c>
      <c r="AD48" s="31" t="s">
        <v>52</v>
      </c>
    </row>
    <row r="49" spans="1:30" x14ac:dyDescent="0.3">
      <c r="A49" s="98"/>
      <c r="B49" s="1"/>
      <c r="C49" s="384"/>
      <c r="D49" s="384"/>
      <c r="E49" s="384"/>
      <c r="F49" s="384"/>
      <c r="G49" s="384"/>
      <c r="H49" s="384"/>
      <c r="I49" s="384"/>
      <c r="J49" s="384"/>
      <c r="K49" s="384"/>
      <c r="L49" s="384"/>
      <c r="M49" s="384"/>
      <c r="N49" s="384"/>
      <c r="O49" s="384"/>
      <c r="P49" s="384"/>
      <c r="Q49" s="384"/>
      <c r="R49" s="384"/>
      <c r="S49" s="384"/>
      <c r="T49" s="384"/>
      <c r="U49" s="384"/>
      <c r="V49" s="384"/>
      <c r="W49" s="9"/>
      <c r="X49" s="384"/>
      <c r="Y49" s="94"/>
      <c r="Z49" s="94"/>
      <c r="AA49" s="94"/>
      <c r="AB49" s="94"/>
      <c r="AC49" s="88"/>
      <c r="AD49" s="5"/>
    </row>
    <row r="50" spans="1:30" x14ac:dyDescent="0.3">
      <c r="A50" s="98" t="s">
        <v>68</v>
      </c>
      <c r="B50" s="1">
        <v>3</v>
      </c>
      <c r="C50" s="384">
        <v>2</v>
      </c>
      <c r="D50" s="384">
        <v>1</v>
      </c>
      <c r="E50" s="384"/>
      <c r="F50" s="384">
        <v>2</v>
      </c>
      <c r="G50" s="384"/>
      <c r="H50" s="384"/>
      <c r="I50" s="84">
        <v>13.333333333333334</v>
      </c>
      <c r="J50" s="384">
        <v>88</v>
      </c>
      <c r="K50" s="384">
        <v>75</v>
      </c>
      <c r="L50" s="384">
        <v>31</v>
      </c>
      <c r="M50" s="384">
        <v>0</v>
      </c>
      <c r="N50" s="384">
        <v>0</v>
      </c>
      <c r="O50" s="384">
        <v>2</v>
      </c>
      <c r="P50" s="384">
        <v>9</v>
      </c>
      <c r="Q50" s="384">
        <v>2</v>
      </c>
      <c r="R50" s="384">
        <f t="shared" si="54"/>
        <v>11</v>
      </c>
      <c r="S50" s="384">
        <v>15</v>
      </c>
      <c r="T50" s="384">
        <v>1</v>
      </c>
      <c r="U50" s="384">
        <v>0</v>
      </c>
      <c r="V50" s="384">
        <v>31</v>
      </c>
      <c r="W50" s="9">
        <v>12</v>
      </c>
      <c r="X50" s="88">
        <f>F50/(F50+G50)</f>
        <v>1</v>
      </c>
      <c r="Y50" s="94">
        <f t="shared" ref="Y50" si="58">(W50*7)/J50</f>
        <v>0.95454545454545459</v>
      </c>
      <c r="Z50" s="94">
        <f t="shared" ref="Z50" si="59">((Q50+R50)/J50)*7</f>
        <v>1.0340909090909092</v>
      </c>
      <c r="AA50" s="94">
        <f t="shared" ref="AA50" si="60">(S50/J50)*7</f>
        <v>1.1931818181818181</v>
      </c>
      <c r="AB50" s="94">
        <f t="shared" ref="AB50" si="61">(M50+N50+Q50)/J50</f>
        <v>2.2727272727272728E-2</v>
      </c>
      <c r="AC50" s="88">
        <f t="shared" ref="AC50" si="62">(M50+N50)/L50</f>
        <v>0</v>
      </c>
      <c r="AD50" s="31" t="s">
        <v>68</v>
      </c>
    </row>
    <row r="51" spans="1:30" x14ac:dyDescent="0.3">
      <c r="A51" s="98"/>
      <c r="B51" s="1"/>
      <c r="C51" s="384"/>
      <c r="D51" s="384"/>
      <c r="E51" s="384"/>
      <c r="F51" s="384"/>
      <c r="G51" s="384"/>
      <c r="H51" s="384"/>
      <c r="I51" s="384"/>
      <c r="J51" s="384"/>
      <c r="K51" s="384"/>
      <c r="L51" s="384"/>
      <c r="M51" s="384"/>
      <c r="N51" s="384"/>
      <c r="O51" s="384"/>
      <c r="P51" s="384"/>
      <c r="Q51" s="384"/>
      <c r="R51" s="384"/>
      <c r="S51" s="384"/>
      <c r="T51" s="384"/>
      <c r="U51" s="384"/>
      <c r="V51" s="384"/>
      <c r="W51" s="9"/>
      <c r="X51" s="384"/>
      <c r="Y51" s="384"/>
      <c r="Z51" s="384"/>
      <c r="AA51" s="384"/>
      <c r="AB51" s="94"/>
      <c r="AC51" s="412"/>
      <c r="AD51" s="470"/>
    </row>
    <row r="52" spans="1:30" ht="17.25" thickBot="1" x14ac:dyDescent="0.35">
      <c r="A52" s="270"/>
      <c r="B52" s="1"/>
      <c r="C52" s="384"/>
      <c r="D52" s="384"/>
      <c r="E52" s="384"/>
      <c r="F52" s="384"/>
      <c r="G52" s="384"/>
      <c r="H52" s="384"/>
      <c r="I52" s="384"/>
      <c r="J52" s="384"/>
      <c r="K52" s="384"/>
      <c r="L52" s="384"/>
      <c r="M52" s="384"/>
      <c r="N52" s="384"/>
      <c r="O52" s="384"/>
      <c r="P52" s="384"/>
      <c r="Q52" s="384"/>
      <c r="R52" s="384"/>
      <c r="S52" s="384"/>
      <c r="T52" s="384"/>
      <c r="U52" s="384"/>
      <c r="V52" s="384"/>
      <c r="W52" s="9"/>
      <c r="X52" s="384"/>
      <c r="Y52" s="384"/>
      <c r="Z52" s="384"/>
      <c r="AA52" s="384"/>
      <c r="AB52" s="94"/>
      <c r="AC52" s="412"/>
      <c r="AD52" s="7"/>
    </row>
    <row r="53" spans="1:30" ht="18" thickBot="1" x14ac:dyDescent="0.35">
      <c r="A53" s="386"/>
      <c r="B53" s="271"/>
      <c r="C53" s="90">
        <f>SUM(C45:C52)</f>
        <v>4</v>
      </c>
      <c r="D53" s="90">
        <f>SUM(D44:D52)</f>
        <v>3</v>
      </c>
      <c r="E53" s="90">
        <f t="shared" ref="E53:W53" si="63">SUM(E44:E52)</f>
        <v>0</v>
      </c>
      <c r="F53" s="90">
        <f t="shared" si="63"/>
        <v>4</v>
      </c>
      <c r="G53" s="90">
        <f t="shared" si="63"/>
        <v>0</v>
      </c>
      <c r="H53" s="90">
        <f t="shared" si="63"/>
        <v>0</v>
      </c>
      <c r="I53" s="90">
        <f t="shared" si="63"/>
        <v>21</v>
      </c>
      <c r="J53" s="90">
        <f t="shared" si="63"/>
        <v>161</v>
      </c>
      <c r="K53" s="90">
        <f t="shared" si="63"/>
        <v>141</v>
      </c>
      <c r="L53" s="90">
        <f t="shared" si="63"/>
        <v>71</v>
      </c>
      <c r="M53" s="90">
        <f t="shared" si="63"/>
        <v>5</v>
      </c>
      <c r="N53" s="90">
        <f t="shared" si="63"/>
        <v>0</v>
      </c>
      <c r="O53" s="90">
        <f t="shared" si="63"/>
        <v>3</v>
      </c>
      <c r="P53" s="90">
        <f t="shared" si="63"/>
        <v>22</v>
      </c>
      <c r="Q53" s="90">
        <f t="shared" si="63"/>
        <v>5</v>
      </c>
      <c r="R53" s="90">
        <f t="shared" si="63"/>
        <v>27</v>
      </c>
      <c r="S53" s="90">
        <f t="shared" si="63"/>
        <v>20</v>
      </c>
      <c r="T53" s="90">
        <f t="shared" si="63"/>
        <v>3</v>
      </c>
      <c r="U53" s="90">
        <f t="shared" si="63"/>
        <v>0</v>
      </c>
      <c r="V53" s="90">
        <f t="shared" si="63"/>
        <v>80</v>
      </c>
      <c r="W53" s="90">
        <f t="shared" si="63"/>
        <v>53</v>
      </c>
      <c r="X53" s="91">
        <f>F53/(F53+G53)</f>
        <v>1</v>
      </c>
      <c r="Y53" s="95">
        <f>(W53*7)/J53</f>
        <v>2.3043478260869565</v>
      </c>
      <c r="Z53" s="95">
        <f>((Q53+R53)/J53)*7</f>
        <v>1.3913043478260869</v>
      </c>
      <c r="AA53" s="95">
        <f>(S53/J53)*7</f>
        <v>0.86956521739130432</v>
      </c>
      <c r="AB53" s="95">
        <f>(M53+N53+Q53)/J53</f>
        <v>6.2111801242236024E-2</v>
      </c>
      <c r="AC53" s="92">
        <f>(M53+N53)/L53</f>
        <v>7.0422535211267609E-2</v>
      </c>
      <c r="AD53" s="390"/>
    </row>
  </sheetData>
  <mergeCells count="35">
    <mergeCell ref="A1:AD1"/>
    <mergeCell ref="AV30:AW30"/>
    <mergeCell ref="AT30:AU30"/>
    <mergeCell ref="AR30:AS30"/>
    <mergeCell ref="CK1:DN1"/>
    <mergeCell ref="BH1:CJ1"/>
    <mergeCell ref="AE1:BG1"/>
    <mergeCell ref="AL30:AM30"/>
    <mergeCell ref="AH30:AI30"/>
    <mergeCell ref="AP30:AQ30"/>
    <mergeCell ref="AN30:AO30"/>
    <mergeCell ref="BF30:BG30"/>
    <mergeCell ref="BD30:BE30"/>
    <mergeCell ref="BB30:BC30"/>
    <mergeCell ref="AZ30:BA30"/>
    <mergeCell ref="AX30:AY30"/>
    <mergeCell ref="Z30:AA30"/>
    <mergeCell ref="AB30:AC30"/>
    <mergeCell ref="AD30:AE30"/>
    <mergeCell ref="AF30:AG30"/>
    <mergeCell ref="AJ30:AK30"/>
    <mergeCell ref="A42:AC42"/>
    <mergeCell ref="B14:AC15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타자</vt:lpstr>
      <vt:lpstr>투수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Jnote</dc:creator>
  <cp:lastModifiedBy>Jnote</cp:lastModifiedBy>
  <dcterms:created xsi:type="dcterms:W3CDTF">2023-03-26T01:52:56Z</dcterms:created>
  <dcterms:modified xsi:type="dcterms:W3CDTF">2026-03-31T00:47:14Z</dcterms:modified>
</cp:coreProperties>
</file>